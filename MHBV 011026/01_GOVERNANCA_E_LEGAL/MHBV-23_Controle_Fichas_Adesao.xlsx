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inel" sheetId="2" state="visible" r:id="rId4"/>
    <sheet name="Fichas" sheetId="3" state="visible" r:id="rId5"/>
    <sheet name="Listas" sheetId="4" state="hidden" r:id="rId6"/>
    <sheet name="Convi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<sst xmlns="http://schemas.openxmlformats.org/spreadsheetml/2006/main" count="108" uniqueCount="87">
  <si>
    <t xml:space="preserve">MHBV-23 · Controle das Fichas de Adesão · COOP MEL-HORANDO BOA VIAGEM (em constituição) · 08/10/2026</t>
  </si>
  <si>
    <t xml:space="preserve">Para quê: acompanhar a coleta das fichas (MHBV-00D v1.1) até 31/10/2026. Mínimo legal: 20 pessoas físicas (Lei 5.764/1971, art. 6º, I). Meta: 25.</t>
  </si>
  <si>
    <t xml:space="preserve">Como usar:</t>
  </si>
  <si>
    <t xml:space="preserve">  1) Aba Convites: anote cada apicultor que você chamou (Sindicato Rural, Emater, Associação, indicação). Atualize o Status.</t>
  </si>
  <si>
    <t xml:space="preserve">  2) Aba Fichas: quando a ficha voltar assinada, copie os dados da ficha para uma linha. Escreva só nas células de texto azul.</t>
  </si>
  <si>
    <t xml:space="preserve">  3) Aba Painel: mostra sozinha quantas fichas faltam, dias até 31/10, colmeias, produção, % com CAF e respostas sobre o pagamento 50/20/30.</t>
  </si>
  <si>
    <t xml:space="preserve">Regras:</t>
  </si>
  <si>
    <t xml:space="preserve">  • Ficha só conta quando a coluna "Ficha assinada?" = Sim.</t>
  </si>
  <si>
    <t xml:space="preserve">  • Apiário tem que estar num dos 17 municípios do Anexo I (lista de seleção).</t>
  </si>
  <si>
    <t xml:space="preserve">  • Pai e filho (ou parentes até 2º grau) não podem ficar no mesmo conselho (Lei 5.764, art. 51) — preencha a coluna Parentesco.</t>
  </si>
  <si>
    <t xml:space="preserve">  • CAF-PJ da cooperativa exige ≥ 50% dos cooperados com CAF ativo — acompanhe no Painel.</t>
  </si>
  <si>
    <t xml:space="preserve">LGPD (Lei 13.709/2018): esta planilha terá dados pessoais reais. Guardar só em pasta privada; não enviar por WhatsApp; não tornar o repositório público.</t>
  </si>
  <si>
    <t xml:space="preserve">Azul = você preenche · Preto = fórmula (não apagar).</t>
  </si>
  <si>
    <t xml:space="preserve">PAINEL DA MOBILIZAÇÃO · fichas até 31/10/2026</t>
  </si>
  <si>
    <t xml:space="preserve">Prazo das fichas</t>
  </si>
  <si>
    <t xml:space="preserve">Dias que faltam</t>
  </si>
  <si>
    <t xml:space="preserve">Fichas assinadas</t>
  </si>
  <si>
    <t xml:space="preserve">Mínimo legal (Lei 5.764, art. 6º, I)</t>
  </si>
  <si>
    <t xml:space="preserve">Faltam para o mínimo</t>
  </si>
  <si>
    <t xml:space="preserve">Meta da Comissão</t>
  </si>
  <si>
    <t xml:space="preserve">Faltam para a meta</t>
  </si>
  <si>
    <t xml:space="preserve">Ritmo necessário (fichas/dia até a meta)</t>
  </si>
  <si>
    <t xml:space="preserve">Total de colmeias (fichas assinadas)</t>
  </si>
  <si>
    <t xml:space="preserve">Produção declarada (kg/ano)</t>
  </si>
  <si>
    <t xml:space="preserve">% da meta de regime (250 t)</t>
  </si>
  <si>
    <t xml:space="preserve">% com CAF (CAF-PJ exige ≥ 50%)</t>
  </si>
  <si>
    <t xml:space="preserve">Candidatos ao Conselho de Administração (precisa ≥ 5)</t>
  </si>
  <si>
    <t xml:space="preserve">Candidatos ao Conselho Fiscal (precisa ≥ 6: 3+3)</t>
  </si>
  <si>
    <t xml:space="preserve">Documentos completos (RG+CPF e comprovante)</t>
  </si>
  <si>
    <t xml:space="preserve">50/20/30 vale a pena? — Sim</t>
  </si>
  <si>
    <t xml:space="preserve">50/20/30 vale a pena? — Não</t>
  </si>
  <si>
    <t xml:space="preserve">50/20/30 vale a pena? — Talvez</t>
  </si>
  <si>
    <t xml:space="preserve">Convites feitos</t>
  </si>
  <si>
    <t xml:space="preserve">Convidados que vão à reunião</t>
  </si>
  <si>
    <t xml:space="preserve">Fichas assinadas por município (Anexo I)</t>
  </si>
  <si>
    <t xml:space="preserve">Município</t>
  </si>
  <si>
    <t xml:space="preserve">Fichas</t>
  </si>
  <si>
    <t xml:space="preserve">Colmeias</t>
  </si>
  <si>
    <t xml:space="preserve">Boa Viagem</t>
  </si>
  <si>
    <t xml:space="preserve">Madalena</t>
  </si>
  <si>
    <t xml:space="preserve">Quixeramobim</t>
  </si>
  <si>
    <t xml:space="preserve">Pedra Branca</t>
  </si>
  <si>
    <t xml:space="preserve">Monsenhor Tabosa</t>
  </si>
  <si>
    <t xml:space="preserve">Itatira</t>
  </si>
  <si>
    <t xml:space="preserve">Canindé</t>
  </si>
  <si>
    <t xml:space="preserve">Santa Quitéria</t>
  </si>
  <si>
    <t xml:space="preserve">Mombaça</t>
  </si>
  <si>
    <t xml:space="preserve">Tamboril</t>
  </si>
  <si>
    <t xml:space="preserve">Independência</t>
  </si>
  <si>
    <t xml:space="preserve">Piquet Carneiro</t>
  </si>
  <si>
    <t xml:space="preserve">Ibaretama</t>
  </si>
  <si>
    <t xml:space="preserve">Quixadá</t>
  </si>
  <si>
    <t xml:space="preserve">Senador Pompeu</t>
  </si>
  <si>
    <t xml:space="preserve">Choró</t>
  </si>
  <si>
    <t xml:space="preserve">Banabuiú</t>
  </si>
  <si>
    <t xml:space="preserve">FICHAS DE ADESÃO RECEBIDAS — preencher a partir da ficha MHBV-00D v1.1</t>
  </si>
  <si>
    <t xml:space="preserve">Nº</t>
  </si>
  <si>
    <t xml:space="preserve">Nome completo</t>
  </si>
  <si>
    <t xml:space="preserve">CPF</t>
  </si>
  <si>
    <t xml:space="preserve">Município do apiário</t>
  </si>
  <si>
    <t xml:space="preserve">Comunidade</t>
  </si>
  <si>
    <t xml:space="preserve">WhatsApp</t>
  </si>
  <si>
    <t xml:space="preserve">Nº colmeias</t>
  </si>
  <si>
    <t xml:space="preserve">Produção (kg/ano)</t>
  </si>
  <si>
    <t xml:space="preserve">Meses de safra</t>
  </si>
  <si>
    <t xml:space="preserve">Vasilhame</t>
  </si>
  <si>
    <t xml:space="preserve">Tem CAF?</t>
  </si>
  <si>
    <t xml:space="preserve">Nº CAF</t>
  </si>
  <si>
    <t xml:space="preserve">Associação</t>
  </si>
  <si>
    <t xml:space="preserve">Quotas (mín. 100)</t>
  </si>
  <si>
    <t xml:space="preserve">Integralização</t>
  </si>
  <si>
    <t xml:space="preserve">Candidato a</t>
  </si>
  <si>
    <t xml:space="preserve">Parentesco (nome/grau)</t>
  </si>
  <si>
    <t xml:space="preserve">50/20/30 vale a pena?</t>
  </si>
  <si>
    <t xml:space="preserve">RG+CPF</t>
  </si>
  <si>
    <t xml:space="preserve">Compr. residência</t>
  </si>
  <si>
    <t xml:space="preserve">Cópia CAF</t>
  </si>
  <si>
    <t xml:space="preserve">Ficha assinada?</t>
  </si>
  <si>
    <t xml:space="preserve">Data entrega</t>
  </si>
  <si>
    <t xml:space="preserve">Recebido por</t>
  </si>
  <si>
    <t xml:space="preserve">Observações</t>
  </si>
  <si>
    <t xml:space="preserve">CONVITES — funil de mobilização (quem foi chamado e em que pé está)</t>
  </si>
  <si>
    <t xml:space="preserve">Nome</t>
  </si>
  <si>
    <t xml:space="preserve">Origem do contato</t>
  </si>
  <si>
    <t xml:space="preserve">Convidado em</t>
  </si>
  <si>
    <t xml:space="preserve">Status</t>
  </si>
  <si>
    <t xml:space="preserve">Vai à reunião?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</si>
</sst>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0.0"/>
    <numFmt numFmtId="168" formatCode="#,##0"/>
    <numFmt numFmtId="169" formatCode="0.0%"/>
    <numFmt numFmtId="170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4B1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004B1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B08D57"/>
      <name val="Arial"/>
      <family val="0"/>
      <charset val="1"/>
    </font>
    <font>
      <b val="true"/>
      <sz val="11"/>
      <color rgb="FF004B1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4B1B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4B1B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BE3D6"/>
        </patternFill>
      </fill>
    </dxf>
    <dxf>
      <fill>
        <patternFill>
          <bgColor rgb="FFE6F0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4"/>
      <rgbColor rgb="FF808080"/>
      <rgbColor rgb="FF9999FF"/>
      <rgbColor rgb="FF993366"/>
      <rgbColor rgb="FFFBE3D6"/>
      <rgbColor rgb="FFE6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8D57"/>
      <rgbColor rgb="FF003366"/>
      <rgbColor rgb="FF339966"/>
      <rgbColor rgb="FF004B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4"/>
  </cols>
  <sheetData>
    <row r="1" customFormat="false" ht="16.15" hidden="false" customHeight="false" outlineLevel="0" collapsed="false">
      <c r="A1" s="3" t="s">
        <v>13</v>
      </c>
    </row>
    <row r="3" customFormat="false" ht="15" hidden="false" customHeight="false" outlineLevel="0" collapsed="false">
      <c r="A3" s="4" t="s">
        <v>14</v>
      </c>
      <c r="B3" s="5" t="n">
        <f aca="false">DATE(2026,10,31)</f>
        <v>46326</v>
      </c>
    </row>
    <row r="4" customFormat="false" ht="15" hidden="false" customHeight="false" outlineLevel="0" collapsed="false">
      <c r="A4" s="4" t="s">
        <v>15</v>
      </c>
      <c r="B4" s="6" t="n">
        <f aca="true">MAX(0,B3-TODAY())</f>
        <v>23</v>
      </c>
    </row>
    <row r="5" customFormat="false" ht="15" hidden="false" customHeight="false" outlineLevel="0" collapsed="false">
      <c r="A5" s="4" t="s">
        <v>16</v>
      </c>
      <c r="B5" s="6" t="n">
        <f aca="false">COUNTIF(Fichas!$V$4:$V$63,"Sim")</f>
        <v>0</v>
      </c>
      <c r="C5" s="7" t="str">
        <f aca="false">IF(B5&gt;=B8,"✓ meta atingida",IF(B5&gt;=B6,"✓ mínimo legal atingido","faltam "&amp;B7&amp;" para o mínimo"))</f>
        <v>faltam 20 para o mínimo</v>
      </c>
    </row>
    <row r="6" customFormat="false" ht="15" hidden="false" customHeight="false" outlineLevel="0" collapsed="false">
      <c r="A6" s="4" t="s">
        <v>17</v>
      </c>
      <c r="B6" s="6" t="n">
        <f aca="false">20</f>
        <v>20</v>
      </c>
    </row>
    <row r="7" customFormat="false" ht="15" hidden="false" customHeight="false" outlineLevel="0" collapsed="false">
      <c r="A7" s="4" t="s">
        <v>18</v>
      </c>
      <c r="B7" s="6" t="n">
        <f aca="false">MAX(0,B6-B5)</f>
        <v>20</v>
      </c>
    </row>
    <row r="8" customFormat="false" ht="15" hidden="false" customHeight="false" outlineLevel="0" collapsed="false">
      <c r="A8" s="4" t="s">
        <v>19</v>
      </c>
      <c r="B8" s="6" t="n">
        <f aca="false">25</f>
        <v>25</v>
      </c>
    </row>
    <row r="9" customFormat="false" ht="15" hidden="false" customHeight="false" outlineLevel="0" collapsed="false">
      <c r="A9" s="4" t="s">
        <v>20</v>
      </c>
      <c r="B9" s="6" t="n">
        <f aca="false">MAX(0,B8-B5)</f>
        <v>25</v>
      </c>
    </row>
    <row r="10" customFormat="false" ht="15" hidden="false" customHeight="false" outlineLevel="0" collapsed="false">
      <c r="A10" s="4" t="s">
        <v>21</v>
      </c>
      <c r="B10" s="8" t="n">
        <f aca="false">IF(B4=0,B9,B9/B4)</f>
        <v>1.08695652173913</v>
      </c>
    </row>
    <row r="11" customFormat="false" ht="15" hidden="false" customHeight="false" outlineLevel="0" collapsed="false">
      <c r="A11" s="4" t="s">
        <v>22</v>
      </c>
      <c r="B11" s="9" t="n">
        <f aca="false">SUMIFS(Fichas!$G$4:$G$63,Fichas!$V$4:$V$63,"Sim")</f>
        <v>0</v>
      </c>
    </row>
    <row r="12" customFormat="false" ht="15" hidden="false" customHeight="false" outlineLevel="0" collapsed="false">
      <c r="A12" s="4" t="s">
        <v>23</v>
      </c>
      <c r="B12" s="9" t="n">
        <f aca="false">SUMIFS(Fichas!$H$4:$H$63,Fichas!$V$4:$V$63,"Sim")</f>
        <v>0</v>
      </c>
    </row>
    <row r="13" customFormat="false" ht="15" hidden="false" customHeight="false" outlineLevel="0" collapsed="false">
      <c r="A13" s="4" t="s">
        <v>24</v>
      </c>
      <c r="B13" s="10" t="n">
        <f aca="false">B12/250000</f>
        <v>0</v>
      </c>
    </row>
    <row r="14" customFormat="false" ht="15" hidden="false" customHeight="false" outlineLevel="0" collapsed="false">
      <c r="A14" s="4" t="s">
        <v>25</v>
      </c>
      <c r="B14" s="11" t="n">
        <f aca="false">IF(B5=0,0,COUNTIFS(Fichas!$V$4:$V$63,"Sim",Fichas!$K$4:$K$63,"Sim")/B5)</f>
        <v>0</v>
      </c>
      <c r="C14" s="7" t="str">
        <f aca="false">IF(B14&gt;=0.5,"✓ atende CAF-PJ","abaixo de 50%")</f>
        <v>abaixo de 50%</v>
      </c>
    </row>
    <row r="15" customFormat="false" ht="15" hidden="false" customHeight="false" outlineLevel="0" collapsed="false">
      <c r="A15" s="4" t="s">
        <v>26</v>
      </c>
      <c r="B15" s="6" t="n">
        <f aca="false">COUNTIFS(Fichas!$V$4:$V$63,"Sim",Fichas!$P$4:$P$63,"Conselho de Administração")</f>
        <v>0</v>
      </c>
      <c r="C15" s="7" t="str">
        <f aca="false">IF(B15&gt;=5,"✓","faltam "&amp;MAX(0,5-B15))</f>
        <v>faltam 5</v>
      </c>
    </row>
    <row r="16" customFormat="false" ht="15" hidden="false" customHeight="false" outlineLevel="0" collapsed="false">
      <c r="A16" s="4" t="s">
        <v>27</v>
      </c>
      <c r="B16" s="6" t="n">
        <f aca="false">COUNTIFS(Fichas!$V$4:$V$63,"Sim",Fichas!$P$4:$P$63,"Conselho Fiscal")</f>
        <v>0</v>
      </c>
      <c r="C16" s="7" t="str">
        <f aca="false">IF(B16&gt;=6,"✓","faltam "&amp;MAX(0,6-B16))</f>
        <v>faltam 6</v>
      </c>
    </row>
    <row r="17" customFormat="false" ht="15" hidden="false" customHeight="false" outlineLevel="0" collapsed="false">
      <c r="A17" s="4" t="s">
        <v>28</v>
      </c>
      <c r="B17" s="6" t="n">
        <f aca="false">COUNTIFS(Fichas!$V$4:$V$63,"Sim",Fichas!$S$4:$S$63,"Sim",Fichas!$T$4:$T$63,"Sim")</f>
        <v>0</v>
      </c>
    </row>
    <row r="18" customFormat="false" ht="15" hidden="false" customHeight="false" outlineLevel="0" collapsed="false">
      <c r="A18" s="4" t="s">
        <v>29</v>
      </c>
      <c r="B18" s="6" t="n">
        <f aca="false">COUNTIFS(Fichas!$V$4:$V$63,"Sim",Fichas!$R$4:$R$63,"Sim")</f>
        <v>0</v>
      </c>
    </row>
    <row r="19" customFormat="false" ht="15" hidden="false" customHeight="false" outlineLevel="0" collapsed="false">
      <c r="A19" s="4" t="s">
        <v>30</v>
      </c>
      <c r="B19" s="6" t="n">
        <f aca="false">COUNTIFS(Fichas!$V$4:$V$63,"Sim",Fichas!$R$4:$R$63,"Não")</f>
        <v>0</v>
      </c>
    </row>
    <row r="20" customFormat="false" ht="15" hidden="false" customHeight="false" outlineLevel="0" collapsed="false">
      <c r="A20" s="4" t="s">
        <v>31</v>
      </c>
      <c r="B20" s="6" t="n">
        <f aca="false">COUNTIFS(Fichas!$V$4:$V$63,"Sim",Fichas!$R$4:$R$63,"Talvez")</f>
        <v>0</v>
      </c>
    </row>
    <row r="21" customFormat="false" ht="15" hidden="false" customHeight="false" outlineLevel="0" collapsed="false">
      <c r="A21" s="4" t="s">
        <v>32</v>
      </c>
      <c r="B21" s="6" t="n">
        <f aca="false">COUNTA(Convites!$A$4:$A$153)</f>
        <v>0</v>
      </c>
    </row>
    <row r="22" customFormat="false" ht="15" hidden="false" customHeight="false" outlineLevel="0" collapsed="false">
      <c r="A22" s="4" t="s">
        <v>33</v>
      </c>
      <c r="B22" s="6" t="n">
        <f aca="false">COUNTIF(Convites!$H$4:$H$153,"Sim")</f>
        <v>0</v>
      </c>
    </row>
    <row r="25" customFormat="false" ht="15" hidden="false" customHeight="false" outlineLevel="0" collapsed="false">
      <c r="A25" s="12" t="s">
        <v>34</v>
      </c>
    </row>
    <row r="26" customFormat="false" ht="15" hidden="false" customHeight="false" outlineLevel="0" collapsed="false">
      <c r="A26" s="13" t="s">
        <v>35</v>
      </c>
      <c r="B26" s="13" t="s">
        <v>36</v>
      </c>
      <c r="C26" s="13" t="s">
        <v>37</v>
      </c>
    </row>
    <row r="27" customFormat="false" ht="15" hidden="false" customHeight="false" outlineLevel="0" collapsed="false">
      <c r="A27" s="4" t="s">
        <v>38</v>
      </c>
      <c r="B27" s="4" t="n">
        <f aca="false">COUNTIFS(Fichas!$V$4:$V$63,"Sim",Fichas!$D$4:$D$63,A27)</f>
        <v>0</v>
      </c>
      <c r="C27" s="4" t="n">
        <f aca="false">SUMIFS(Fichas!$G$4:$G$63,Fichas!$V$4:$V$63,"Sim",Fichas!$D$4:$D$63,A27)</f>
        <v>0</v>
      </c>
    </row>
    <row r="28" customFormat="false" ht="15" hidden="false" customHeight="false" outlineLevel="0" collapsed="false">
      <c r="A28" s="4" t="s">
        <v>39</v>
      </c>
      <c r="B28" s="4" t="n">
        <f aca="false">COUNTIFS(Fichas!$V$4:$V$63,"Sim",Fichas!$D$4:$D$63,A28)</f>
        <v>0</v>
      </c>
      <c r="C28" s="4" t="n">
        <f aca="false">SUMIFS(Fichas!$G$4:$G$63,Fichas!$V$4:$V$63,"Sim",Fichas!$D$4:$D$63,A28)</f>
        <v>0</v>
      </c>
    </row>
    <row r="29" customFormat="false" ht="15" hidden="false" customHeight="false" outlineLevel="0" collapsed="false">
      <c r="A29" s="4" t="s">
        <v>40</v>
      </c>
      <c r="B29" s="4" t="n">
        <f aca="false">COUNTIFS(Fichas!$V$4:$V$63,"Sim",Fichas!$D$4:$D$63,A29)</f>
        <v>0</v>
      </c>
      <c r="C29" s="4" t="n">
        <f aca="false">SUMIFS(Fichas!$G$4:$G$63,Fichas!$V$4:$V$63,"Sim",Fichas!$D$4:$D$63,A29)</f>
        <v>0</v>
      </c>
    </row>
    <row r="30" customFormat="false" ht="15" hidden="false" customHeight="false" outlineLevel="0" collapsed="false">
      <c r="A30" s="4" t="s">
        <v>41</v>
      </c>
      <c r="B30" s="4" t="n">
        <f aca="false">COUNTIFS(Fichas!$V$4:$V$63,"Sim",Fichas!$D$4:$D$63,A30)</f>
        <v>0</v>
      </c>
      <c r="C30" s="4" t="n">
        <f aca="false">SUMIFS(Fichas!$G$4:$G$63,Fichas!$V$4:$V$63,"Sim",Fichas!$D$4:$D$63,A30)</f>
        <v>0</v>
      </c>
    </row>
    <row r="31" customFormat="false" ht="15" hidden="false" customHeight="false" outlineLevel="0" collapsed="false">
      <c r="A31" s="4" t="s">
        <v>42</v>
      </c>
      <c r="B31" s="4" t="n">
        <f aca="false">COUNTIFS(Fichas!$V$4:$V$63,"Sim",Fichas!$D$4:$D$63,A31)</f>
        <v>0</v>
      </c>
      <c r="C31" s="4" t="n">
        <f aca="false">SUMIFS(Fichas!$G$4:$G$63,Fichas!$V$4:$V$63,"Sim",Fichas!$D$4:$D$63,A31)</f>
        <v>0</v>
      </c>
    </row>
    <row r="32" customFormat="false" ht="15" hidden="false" customHeight="false" outlineLevel="0" collapsed="false">
      <c r="A32" s="4" t="s">
        <v>43</v>
      </c>
      <c r="B32" s="4" t="n">
        <f aca="false">COUNTIFS(Fichas!$V$4:$V$63,"Sim",Fichas!$D$4:$D$63,A32)</f>
        <v>0</v>
      </c>
      <c r="C32" s="4" t="n">
        <f aca="false">SUMIFS(Fichas!$G$4:$G$63,Fichas!$V$4:$V$63,"Sim",Fichas!$D$4:$D$63,A32)</f>
        <v>0</v>
      </c>
    </row>
    <row r="33" customFormat="false" ht="15" hidden="false" customHeight="false" outlineLevel="0" collapsed="false">
      <c r="A33" s="4" t="s">
        <v>44</v>
      </c>
      <c r="B33" s="4" t="n">
        <f aca="false">COUNTIFS(Fichas!$V$4:$V$63,"Sim",Fichas!$D$4:$D$63,A33)</f>
        <v>0</v>
      </c>
      <c r="C33" s="4" t="n">
        <f aca="false">SUMIFS(Fichas!$G$4:$G$63,Fichas!$V$4:$V$63,"Sim",Fichas!$D$4:$D$63,A33)</f>
        <v>0</v>
      </c>
    </row>
    <row r="34" customFormat="false" ht="15" hidden="false" customHeight="false" outlineLevel="0" collapsed="false">
      <c r="A34" s="4" t="s">
        <v>45</v>
      </c>
      <c r="B34" s="4" t="n">
        <f aca="false">COUNTIFS(Fichas!$V$4:$V$63,"Sim",Fichas!$D$4:$D$63,A34)</f>
        <v>0</v>
      </c>
      <c r="C34" s="4" t="n">
        <f aca="false">SUMIFS(Fichas!$G$4:$G$63,Fichas!$V$4:$V$63,"Sim",Fichas!$D$4:$D$63,A34)</f>
        <v>0</v>
      </c>
    </row>
    <row r="35" customFormat="false" ht="15" hidden="false" customHeight="false" outlineLevel="0" collapsed="false">
      <c r="A35" s="4" t="s">
        <v>46</v>
      </c>
      <c r="B35" s="4" t="n">
        <f aca="false">COUNTIFS(Fichas!$V$4:$V$63,"Sim",Fichas!$D$4:$D$63,A35)</f>
        <v>0</v>
      </c>
      <c r="C35" s="4" t="n">
        <f aca="false">SUMIFS(Fichas!$G$4:$G$63,Fichas!$V$4:$V$63,"Sim",Fichas!$D$4:$D$63,A35)</f>
        <v>0</v>
      </c>
    </row>
    <row r="36" customFormat="false" ht="15" hidden="false" customHeight="false" outlineLevel="0" collapsed="false">
      <c r="A36" s="4" t="s">
        <v>47</v>
      </c>
      <c r="B36" s="4" t="n">
        <f aca="false">COUNTIFS(Fichas!$V$4:$V$63,"Sim",Fichas!$D$4:$D$63,A36)</f>
        <v>0</v>
      </c>
      <c r="C36" s="4" t="n">
        <f aca="false">SUMIFS(Fichas!$G$4:$G$63,Fichas!$V$4:$V$63,"Sim",Fichas!$D$4:$D$63,A36)</f>
        <v>0</v>
      </c>
    </row>
    <row r="37" customFormat="false" ht="15" hidden="false" customHeight="false" outlineLevel="0" collapsed="false">
      <c r="A37" s="4" t="s">
        <v>48</v>
      </c>
      <c r="B37" s="4" t="n">
        <f aca="false">COUNTIFS(Fichas!$V$4:$V$63,"Sim",Fichas!$D$4:$D$63,A37)</f>
        <v>0</v>
      </c>
      <c r="C37" s="4" t="n">
        <f aca="false">SUMIFS(Fichas!$G$4:$G$63,Fichas!$V$4:$V$63,"Sim",Fichas!$D$4:$D$63,A37)</f>
        <v>0</v>
      </c>
    </row>
    <row r="38" customFormat="false" ht="15" hidden="false" customHeight="false" outlineLevel="0" collapsed="false">
      <c r="A38" s="4" t="s">
        <v>49</v>
      </c>
      <c r="B38" s="4" t="n">
        <f aca="false">COUNTIFS(Fichas!$V$4:$V$63,"Sim",Fichas!$D$4:$D$63,A38)</f>
        <v>0</v>
      </c>
      <c r="C38" s="4" t="n">
        <f aca="false">SUMIFS(Fichas!$G$4:$G$63,Fichas!$V$4:$V$63,"Sim",Fichas!$D$4:$D$63,A38)</f>
        <v>0</v>
      </c>
    </row>
    <row r="39" customFormat="false" ht="15" hidden="false" customHeight="false" outlineLevel="0" collapsed="false">
      <c r="A39" s="4" t="s">
        <v>50</v>
      </c>
      <c r="B39" s="4" t="n">
        <f aca="false">COUNTIFS(Fichas!$V$4:$V$63,"Sim",Fichas!$D$4:$D$63,A39)</f>
        <v>0</v>
      </c>
      <c r="C39" s="4" t="n">
        <f aca="false">SUMIFS(Fichas!$G$4:$G$63,Fichas!$V$4:$V$63,"Sim",Fichas!$D$4:$D$63,A39)</f>
        <v>0</v>
      </c>
    </row>
    <row r="40" customFormat="false" ht="15" hidden="false" customHeight="false" outlineLevel="0" collapsed="false">
      <c r="A40" s="4" t="s">
        <v>51</v>
      </c>
      <c r="B40" s="4" t="n">
        <f aca="false">COUNTIFS(Fichas!$V$4:$V$63,"Sim",Fichas!$D$4:$D$63,A40)</f>
        <v>0</v>
      </c>
      <c r="C40" s="4" t="n">
        <f aca="false">SUMIFS(Fichas!$G$4:$G$63,Fichas!$V$4:$V$63,"Sim",Fichas!$D$4:$D$63,A40)</f>
        <v>0</v>
      </c>
    </row>
    <row r="41" customFormat="false" ht="15" hidden="false" customHeight="false" outlineLevel="0" collapsed="false">
      <c r="A41" s="4" t="s">
        <v>52</v>
      </c>
      <c r="B41" s="4" t="n">
        <f aca="false">COUNTIFS(Fichas!$V$4:$V$63,"Sim",Fichas!$D$4:$D$63,A41)</f>
        <v>0</v>
      </c>
      <c r="C41" s="4" t="n">
        <f aca="false">SUMIFS(Fichas!$G$4:$G$63,Fichas!$V$4:$V$63,"Sim",Fichas!$D$4:$D$63,A41)</f>
        <v>0</v>
      </c>
    </row>
    <row r="42" customFormat="false" ht="15" hidden="false" customHeight="false" outlineLevel="0" collapsed="false">
      <c r="A42" s="4" t="s">
        <v>53</v>
      </c>
      <c r="B42" s="4" t="n">
        <f aca="false">COUNTIFS(Fichas!$V$4:$V$63,"Sim",Fichas!$D$4:$D$63,A42)</f>
        <v>0</v>
      </c>
      <c r="C42" s="4" t="n">
        <f aca="false">SUMIFS(Fichas!$G$4:$G$63,Fichas!$V$4:$V$63,"Sim",Fichas!$D$4:$D$63,A42)</f>
        <v>0</v>
      </c>
    </row>
    <row r="43" customFormat="false" ht="15" hidden="false" customHeight="false" outlineLevel="0" collapsed="false">
      <c r="A43" s="4" t="s">
        <v>54</v>
      </c>
      <c r="B43" s="4" t="n">
        <f aca="false">COUNTIFS(Fichas!$V$4:$V$63,"Sim",Fichas!$D$4:$D$63,A43)</f>
        <v>0</v>
      </c>
      <c r="C43" s="4" t="n">
        <f aca="false">SUMIFS(Fichas!$G$4:$G$63,Fichas!$V$4:$V$63,"Sim",Fichas!$D$4:$D$63,A43)</f>
        <v>0</v>
      </c>
    </row>
  </sheetData>
  <conditionalFormatting sqref="B7">
    <cfRule type="cellIs" priority="2" operator="greaterThan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0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3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5" min="25" style="0" width="28"/>
  </cols>
  <sheetData>
    <row r="1" customFormat="false" ht="15" hidden="false" customHeight="false" outlineLevel="0" collapsed="false">
      <c r="A1" s="14" t="s">
        <v>55</v>
      </c>
    </row>
    <row r="3" customFormat="false" ht="31.5" hidden="false" customHeight="true" outlineLevel="0" collapsed="false">
      <c r="A3" s="15" t="s">
        <v>56</v>
      </c>
      <c r="B3" s="15" t="s">
        <v>57</v>
      </c>
      <c r="C3" s="15" t="s">
        <v>58</v>
      </c>
      <c r="D3" s="15" t="s">
        <v>59</v>
      </c>
      <c r="E3" s="15" t="s">
        <v>60</v>
      </c>
      <c r="F3" s="15" t="s">
        <v>61</v>
      </c>
      <c r="G3" s="15" t="s">
        <v>62</v>
      </c>
      <c r="H3" s="15" t="s">
        <v>63</v>
      </c>
      <c r="I3" s="15" t="s">
        <v>64</v>
      </c>
      <c r="J3" s="15" t="s">
        <v>65</v>
      </c>
      <c r="K3" s="15" t="s">
        <v>66</v>
      </c>
      <c r="L3" s="15" t="s">
        <v>67</v>
      </c>
      <c r="M3" s="15" t="s">
        <v>68</v>
      </c>
      <c r="N3" s="15" t="s">
        <v>69</v>
      </c>
      <c r="O3" s="15" t="s">
        <v>70</v>
      </c>
      <c r="P3" s="15" t="s">
        <v>71</v>
      </c>
      <c r="Q3" s="15" t="s">
        <v>72</v>
      </c>
      <c r="R3" s="15" t="s">
        <v>73</v>
      </c>
      <c r="S3" s="15" t="s">
        <v>74</v>
      </c>
      <c r="T3" s="15" t="s">
        <v>75</v>
      </c>
      <c r="U3" s="15" t="s">
        <v>76</v>
      </c>
      <c r="V3" s="15" t="s">
        <v>77</v>
      </c>
      <c r="W3" s="15" t="s">
        <v>78</v>
      </c>
      <c r="X3" s="15" t="s">
        <v>79</v>
      </c>
      <c r="Y3" s="15" t="s">
        <v>80</v>
      </c>
    </row>
    <row r="4" customFormat="false" ht="15" hidden="false" customHeight="false" outlineLevel="0" collapsed="false">
      <c r="A4" s="16" t="str">
        <f aca="false">IF(B4="","",ROW()-3)</f>
        <v/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17"/>
      <c r="Y4" s="17"/>
    </row>
    <row r="5" customFormat="false" ht="15" hidden="false" customHeight="false" outlineLevel="0" collapsed="false">
      <c r="A5" s="16" t="str">
        <f aca="false">IF(B5="","",ROW()-3)</f>
        <v/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  <c r="X5" s="17"/>
      <c r="Y5" s="17"/>
    </row>
    <row r="6" customFormat="false" ht="15" hidden="false" customHeight="false" outlineLevel="0" collapsed="false">
      <c r="A6" s="16" t="str">
        <f aca="false">IF(B6="","",ROW()-3)</f>
        <v/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17"/>
      <c r="Y6" s="17"/>
    </row>
    <row r="7" customFormat="false" ht="15" hidden="false" customHeight="false" outlineLevel="0" collapsed="false">
      <c r="A7" s="16" t="str">
        <f aca="false">IF(B7="","",ROW()-3)</f>
        <v/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17"/>
      <c r="Y7" s="17"/>
    </row>
    <row r="8" customFormat="false" ht="15" hidden="false" customHeight="false" outlineLevel="0" collapsed="false">
      <c r="A8" s="16" t="str">
        <f aca="false">IF(B8="","",ROW()-3)</f>
        <v/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17"/>
      <c r="Y8" s="17"/>
    </row>
    <row r="9" customFormat="false" ht="15" hidden="false" customHeight="false" outlineLevel="0" collapsed="false">
      <c r="A9" s="16" t="str">
        <f aca="false">IF(B9="","",ROW()-3)</f>
        <v/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17"/>
      <c r="Y9" s="17"/>
    </row>
    <row r="10" customFormat="false" ht="15" hidden="false" customHeight="false" outlineLevel="0" collapsed="false">
      <c r="A10" s="16" t="str">
        <f aca="false">IF(B10="","",ROW()-3)</f>
        <v/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17"/>
      <c r="Y10" s="17"/>
    </row>
    <row r="11" customFormat="false" ht="15" hidden="false" customHeight="false" outlineLevel="0" collapsed="false">
      <c r="A11" s="16" t="str">
        <f aca="false">IF(B11="","",ROW()-3)</f>
        <v/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17"/>
      <c r="Y11" s="17"/>
    </row>
    <row r="12" customFormat="false" ht="15" hidden="false" customHeight="false" outlineLevel="0" collapsed="false">
      <c r="A12" s="16" t="str">
        <f aca="false">IF(B12="","",ROW()-3)</f>
        <v/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17"/>
      <c r="Y12" s="17"/>
    </row>
    <row r="13" customFormat="false" ht="15" hidden="false" customHeight="false" outlineLevel="0" collapsed="false">
      <c r="A13" s="16" t="str">
        <f aca="false">IF(B13="","",ROW()-3)</f>
        <v/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7"/>
      <c r="Y13" s="17"/>
    </row>
    <row r="14" customFormat="false" ht="15" hidden="false" customHeight="false" outlineLevel="0" collapsed="false">
      <c r="A14" s="16" t="str">
        <f aca="false">IF(B14="","",ROW()-3)</f>
        <v/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7"/>
      <c r="Y14" s="17"/>
    </row>
    <row r="15" customFormat="false" ht="15" hidden="false" customHeight="false" outlineLevel="0" collapsed="false">
      <c r="A15" s="16" t="str">
        <f aca="false">IF(B15="","",ROW()-3)</f>
        <v/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7"/>
      <c r="Y15" s="17"/>
    </row>
    <row r="16" customFormat="false" ht="15" hidden="false" customHeight="false" outlineLevel="0" collapsed="false">
      <c r="A16" s="16" t="str">
        <f aca="false">IF(B16="","",ROW()-3)</f>
        <v/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7"/>
      <c r="Y16" s="17"/>
    </row>
    <row r="17" customFormat="false" ht="15" hidden="false" customHeight="false" outlineLevel="0" collapsed="false">
      <c r="A17" s="16" t="str">
        <f aca="false">IF(B17="","",ROW()-3)</f>
        <v/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7"/>
      <c r="Y17" s="17"/>
    </row>
    <row r="18" customFormat="false" ht="15" hidden="false" customHeight="false" outlineLevel="0" collapsed="false">
      <c r="A18" s="16" t="str">
        <f aca="false">IF(B18="","",ROW()-3)</f>
        <v/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7"/>
      <c r="Y18" s="17"/>
    </row>
    <row r="19" customFormat="false" ht="15" hidden="false" customHeight="false" outlineLevel="0" collapsed="false">
      <c r="A19" s="16" t="str">
        <f aca="false">IF(B19="","",ROW()-3)</f>
        <v/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7"/>
      <c r="Y19" s="17"/>
    </row>
    <row r="20" customFormat="false" ht="15" hidden="false" customHeight="false" outlineLevel="0" collapsed="false">
      <c r="A20" s="16" t="str">
        <f aca="false">IF(B20="","",ROW()-3)</f>
        <v/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7"/>
      <c r="Y20" s="17"/>
    </row>
    <row r="21" customFormat="false" ht="15" hidden="false" customHeight="false" outlineLevel="0" collapsed="false">
      <c r="A21" s="16" t="str">
        <f aca="false">IF(B21="","",ROW()-3)</f>
        <v/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7"/>
      <c r="Y21" s="17"/>
    </row>
    <row r="22" customFormat="false" ht="15" hidden="false" customHeight="false" outlineLevel="0" collapsed="false">
      <c r="A22" s="16" t="str">
        <f aca="false">IF(B22="","",ROW()-3)</f>
        <v/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7"/>
      <c r="Y22" s="17"/>
    </row>
    <row r="23" customFormat="false" ht="15" hidden="false" customHeight="false" outlineLevel="0" collapsed="false">
      <c r="A23" s="16" t="str">
        <f aca="false">IF(B23="","",ROW()-3)</f>
        <v/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7"/>
      <c r="Y23" s="17"/>
    </row>
    <row r="24" customFormat="false" ht="15" hidden="false" customHeight="false" outlineLevel="0" collapsed="false">
      <c r="A24" s="16" t="str">
        <f aca="false">IF(B24="","",ROW()-3)</f>
        <v/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7"/>
      <c r="Y24" s="17"/>
    </row>
    <row r="25" customFormat="false" ht="15" hidden="false" customHeight="false" outlineLevel="0" collapsed="false">
      <c r="A25" s="16" t="str">
        <f aca="false">IF(B25="","",ROW()-3)</f>
        <v/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7"/>
      <c r="Y25" s="17"/>
    </row>
    <row r="26" customFormat="false" ht="15" hidden="false" customHeight="false" outlineLevel="0" collapsed="false">
      <c r="A26" s="16" t="str">
        <f aca="false">IF(B26="","",ROW()-3)</f>
        <v/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7"/>
      <c r="Y26" s="17"/>
    </row>
    <row r="27" customFormat="false" ht="15" hidden="false" customHeight="false" outlineLevel="0" collapsed="false">
      <c r="A27" s="16" t="str">
        <f aca="false">IF(B27="","",ROW()-3)</f>
        <v/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7"/>
      <c r="Y27" s="17"/>
    </row>
    <row r="28" customFormat="false" ht="15" hidden="false" customHeight="false" outlineLevel="0" collapsed="false">
      <c r="A28" s="16" t="str">
        <f aca="false">IF(B28="","",ROW()-3)</f>
        <v/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7"/>
      <c r="Y28" s="17"/>
    </row>
    <row r="29" customFormat="false" ht="15" hidden="false" customHeight="false" outlineLevel="0" collapsed="false">
      <c r="A29" s="16" t="str">
        <f aca="false">IF(B29="","",ROW()-3)</f>
        <v/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7"/>
      <c r="Y29" s="17"/>
    </row>
    <row r="30" customFormat="false" ht="15" hidden="false" customHeight="false" outlineLevel="0" collapsed="false">
      <c r="A30" s="16" t="str">
        <f aca="false">IF(B30="","",ROW()-3)</f>
        <v/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7"/>
      <c r="Y30" s="17"/>
    </row>
    <row r="31" customFormat="false" ht="15" hidden="false" customHeight="false" outlineLevel="0" collapsed="false">
      <c r="A31" s="16" t="str">
        <f aca="false">IF(B31="","",ROW()-3)</f>
        <v/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7"/>
      <c r="Y31" s="17"/>
    </row>
    <row r="32" customFormat="false" ht="15" hidden="false" customHeight="false" outlineLevel="0" collapsed="false">
      <c r="A32" s="16" t="str">
        <f aca="false">IF(B32="","",ROW()-3)</f>
        <v/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7"/>
      <c r="Y32" s="17"/>
    </row>
    <row r="33" customFormat="false" ht="15" hidden="false" customHeight="false" outlineLevel="0" collapsed="false">
      <c r="A33" s="16" t="str">
        <f aca="false">IF(B33="","",ROW()-3)</f>
        <v/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7"/>
      <c r="Y33" s="17"/>
    </row>
    <row r="34" customFormat="false" ht="15" hidden="false" customHeight="false" outlineLevel="0" collapsed="false">
      <c r="A34" s="16" t="str">
        <f aca="false">IF(B34="","",ROW()-3)</f>
        <v/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7"/>
      <c r="Y34" s="17"/>
    </row>
    <row r="35" customFormat="false" ht="15" hidden="false" customHeight="false" outlineLevel="0" collapsed="false">
      <c r="A35" s="16" t="str">
        <f aca="false">IF(B35="","",ROW()-3)</f>
        <v/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7"/>
      <c r="Y35" s="17"/>
    </row>
    <row r="36" customFormat="false" ht="15" hidden="false" customHeight="false" outlineLevel="0" collapsed="false">
      <c r="A36" s="16" t="str">
        <f aca="false">IF(B36="","",ROW()-3)</f>
        <v/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7"/>
      <c r="Y36" s="17"/>
    </row>
    <row r="37" customFormat="false" ht="15" hidden="false" customHeight="false" outlineLevel="0" collapsed="false">
      <c r="A37" s="16" t="str">
        <f aca="false">IF(B37="","",ROW()-3)</f>
        <v/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7"/>
      <c r="Y37" s="17"/>
    </row>
    <row r="38" customFormat="false" ht="15" hidden="false" customHeight="false" outlineLevel="0" collapsed="false">
      <c r="A38" s="16" t="str">
        <f aca="false">IF(B38="","",ROW()-3)</f>
        <v/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7"/>
      <c r="Y38" s="17"/>
    </row>
    <row r="39" customFormat="false" ht="15" hidden="false" customHeight="false" outlineLevel="0" collapsed="false">
      <c r="A39" s="16" t="str">
        <f aca="false">IF(B39="","",ROW()-3)</f>
        <v/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7"/>
      <c r="Y39" s="17"/>
    </row>
    <row r="40" customFormat="false" ht="15" hidden="false" customHeight="false" outlineLevel="0" collapsed="false">
      <c r="A40" s="16" t="str">
        <f aca="false">IF(B40="","",ROW()-3)</f>
        <v/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/>
      <c r="X40" s="17"/>
      <c r="Y40" s="17"/>
    </row>
    <row r="41" customFormat="false" ht="15" hidden="false" customHeight="false" outlineLevel="0" collapsed="false">
      <c r="A41" s="16" t="str">
        <f aca="false">IF(B41="","",ROW()-3)</f>
        <v/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8"/>
      <c r="X41" s="17"/>
      <c r="Y41" s="17"/>
    </row>
    <row r="42" customFormat="false" ht="15" hidden="false" customHeight="false" outlineLevel="0" collapsed="false">
      <c r="A42" s="16" t="str">
        <f aca="false">IF(B42="","",ROW()-3)</f>
        <v/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17"/>
      <c r="Y42" s="17"/>
    </row>
    <row r="43" customFormat="false" ht="15" hidden="false" customHeight="false" outlineLevel="0" collapsed="false">
      <c r="A43" s="16" t="str">
        <f aca="false">IF(B43="","",ROW()-3)</f>
        <v/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17"/>
      <c r="Y43" s="17"/>
    </row>
    <row r="44" customFormat="false" ht="15" hidden="false" customHeight="false" outlineLevel="0" collapsed="false">
      <c r="A44" s="16" t="str">
        <f aca="false">IF(B44="","",ROW()-3)</f>
        <v/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17"/>
      <c r="Y44" s="17"/>
    </row>
    <row r="45" customFormat="false" ht="15" hidden="false" customHeight="false" outlineLevel="0" collapsed="false">
      <c r="A45" s="16" t="str">
        <f aca="false">IF(B45="","",ROW()-3)</f>
        <v/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/>
      <c r="X45" s="17"/>
      <c r="Y45" s="17"/>
    </row>
    <row r="46" customFormat="false" ht="15" hidden="false" customHeight="false" outlineLevel="0" collapsed="false">
      <c r="A46" s="16" t="str">
        <f aca="false">IF(B46="","",ROW()-3)</f>
        <v/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8"/>
      <c r="X46" s="17"/>
      <c r="Y46" s="17"/>
    </row>
    <row r="47" customFormat="false" ht="15" hidden="false" customHeight="false" outlineLevel="0" collapsed="false">
      <c r="A47" s="16" t="str">
        <f aca="false">IF(B47="","",ROW()-3)</f>
        <v/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8"/>
      <c r="X47" s="17"/>
      <c r="Y47" s="17"/>
    </row>
    <row r="48" customFormat="false" ht="15" hidden="false" customHeight="false" outlineLevel="0" collapsed="false">
      <c r="A48" s="16" t="str">
        <f aca="false">IF(B48="","",ROW()-3)</f>
        <v/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8"/>
      <c r="X48" s="17"/>
      <c r="Y48" s="17"/>
    </row>
    <row r="49" customFormat="false" ht="15" hidden="false" customHeight="false" outlineLevel="0" collapsed="false">
      <c r="A49" s="16" t="str">
        <f aca="false">IF(B49="","",ROW()-3)</f>
        <v/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8"/>
      <c r="X49" s="17"/>
      <c r="Y49" s="17"/>
    </row>
    <row r="50" customFormat="false" ht="15" hidden="false" customHeight="false" outlineLevel="0" collapsed="false">
      <c r="A50" s="16" t="str">
        <f aca="false">IF(B50="","",ROW()-3)</f>
        <v/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8"/>
      <c r="X50" s="17"/>
      <c r="Y50" s="17"/>
    </row>
    <row r="51" customFormat="false" ht="15" hidden="false" customHeight="false" outlineLevel="0" collapsed="false">
      <c r="A51" s="16" t="str">
        <f aca="false">IF(B51="","",ROW()-3)</f>
        <v/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/>
      <c r="X51" s="17"/>
      <c r="Y51" s="17"/>
    </row>
    <row r="52" customFormat="false" ht="15" hidden="false" customHeight="false" outlineLevel="0" collapsed="false">
      <c r="A52" s="16" t="str">
        <f aca="false">IF(B52="","",ROW()-3)</f>
        <v/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/>
      <c r="X52" s="17"/>
      <c r="Y52" s="17"/>
    </row>
    <row r="53" customFormat="false" ht="15" hidden="false" customHeight="false" outlineLevel="0" collapsed="false">
      <c r="A53" s="16" t="str">
        <f aca="false">IF(B53="","",ROW()-3)</f>
        <v/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/>
      <c r="X53" s="17"/>
      <c r="Y53" s="17"/>
    </row>
    <row r="54" customFormat="false" ht="15" hidden="false" customHeight="false" outlineLevel="0" collapsed="false">
      <c r="A54" s="16" t="str">
        <f aca="false">IF(B54="","",ROW()-3)</f>
        <v/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/>
      <c r="X54" s="17"/>
      <c r="Y54" s="17"/>
    </row>
    <row r="55" customFormat="false" ht="15" hidden="false" customHeight="false" outlineLevel="0" collapsed="false">
      <c r="A55" s="16" t="str">
        <f aca="false">IF(B55="","",ROW()-3)</f>
        <v/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/>
      <c r="X55" s="17"/>
      <c r="Y55" s="17"/>
    </row>
    <row r="56" customFormat="false" ht="15" hidden="false" customHeight="false" outlineLevel="0" collapsed="false">
      <c r="A56" s="16" t="str">
        <f aca="false">IF(B56="","",ROW()-3)</f>
        <v/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/>
      <c r="X56" s="17"/>
      <c r="Y56" s="17"/>
    </row>
    <row r="57" customFormat="false" ht="15" hidden="false" customHeight="false" outlineLevel="0" collapsed="false">
      <c r="A57" s="16" t="str">
        <f aca="false">IF(B57="","",ROW()-3)</f>
        <v/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/>
      <c r="X57" s="17"/>
      <c r="Y57" s="17"/>
    </row>
    <row r="58" customFormat="false" ht="15" hidden="false" customHeight="false" outlineLevel="0" collapsed="false">
      <c r="A58" s="16" t="str">
        <f aca="false">IF(B58="","",ROW()-3)</f>
        <v/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/>
      <c r="X58" s="17"/>
      <c r="Y58" s="17"/>
    </row>
    <row r="59" customFormat="false" ht="15" hidden="false" customHeight="false" outlineLevel="0" collapsed="false">
      <c r="A59" s="16" t="str">
        <f aca="false">IF(B59="","",ROW()-3)</f>
        <v/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8"/>
      <c r="X59" s="17"/>
      <c r="Y59" s="17"/>
    </row>
    <row r="60" customFormat="false" ht="15" hidden="false" customHeight="false" outlineLevel="0" collapsed="false">
      <c r="A60" s="16" t="str">
        <f aca="false">IF(B60="","",ROW()-3)</f>
        <v/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/>
      <c r="X60" s="17"/>
      <c r="Y60" s="17"/>
    </row>
    <row r="61" customFormat="false" ht="15" hidden="false" customHeight="false" outlineLevel="0" collapsed="false">
      <c r="A61" s="16" t="str">
        <f aca="false">IF(B61="","",ROW()-3)</f>
        <v/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8"/>
      <c r="X61" s="17"/>
      <c r="Y61" s="17"/>
    </row>
    <row r="62" customFormat="false" ht="15" hidden="false" customHeight="false" outlineLevel="0" collapsed="false">
      <c r="A62" s="16" t="str">
        <f aca="false">IF(B62="","",ROW()-3)</f>
        <v/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/>
      <c r="X62" s="17"/>
      <c r="Y62" s="17"/>
    </row>
    <row r="63" customFormat="false" ht="15" hidden="false" customHeight="false" outlineLevel="0" collapsed="false">
      <c r="A63" s="16" t="str">
        <f aca="false">IF(B63="","",ROW()-3)</f>
        <v/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17"/>
      <c r="Y63" s="17"/>
    </row>
  </sheetData>
  <conditionalFormatting sqref="A4:Y63">
    <cfRule type="expression" priority="2" aboveAverage="0" equalAverage="0" bottom="0" percent="0" rank="0" text="" dxfId="1">
      <formula>$V4="Sim"</formula>
    </cfRule>
  </conditionalFormatting>
  <dataValidations count="10">
    <dataValidation allowBlank="true" errorStyle="stop" operator="between" showDropDown="false" showErrorMessage="false" showInputMessage="false" sqref="D4:D63" type="list">
      <formula1>Listas!$A$1:$A$17</formula1>
      <formula2>0</formula2>
    </dataValidation>
    <dataValidation allowBlank="true" errorStyle="stop" operator="between" showDropDown="false" showErrorMessage="false" showInputMessage="false" sqref="K4:K63" type="list">
      <formula1>"Sim,Não"</formula1>
      <formula2>0</formula2>
    </dataValidation>
    <dataValidation allowBlank="true" errorStyle="stop" operator="between" showDropDown="false" showErrorMessage="false" showInputMessage="false" sqref="O4:O63" type="list">
      <formula1>"À vista,Parcelada (12x),Retenção na produção"</formula1>
      <formula2>0</formula2>
    </dataValidation>
    <dataValidation allowBlank="true" errorStyle="stop" operator="between" showDropDown="false" showErrorMessage="false" showInputMessage="false" sqref="P4:P63" type="list">
      <formula1>"Conselho de Administração,Conselho Fiscal,Não"</formula1>
      <formula2>0</formula2>
    </dataValidation>
    <dataValidation allowBlank="true" errorStyle="stop" operator="between" showDropDown="false" showErrorMessage="false" showInputMessage="false" sqref="R4:R63" type="list">
      <formula1>"Sim,Não,Talvez"</formula1>
      <formula2>0</formula2>
    </dataValidation>
    <dataValidation allowBlank="true" errorStyle="stop" operator="between" showDropDown="false" showErrorMessage="false" showInputMessage="false" sqref="S4:S63" type="list">
      <formula1>"Sim,Não"</formula1>
      <formula2>0</formula2>
    </dataValidation>
    <dataValidation allowBlank="true" errorStyle="stop" operator="between" showDropDown="false" showErrorMessage="false" showInputMessage="false" sqref="T4:T63" type="list">
      <formula1>"Sim,Não"</formula1>
      <formula2>0</formula2>
    </dataValidation>
    <dataValidation allowBlank="true" errorStyle="stop" operator="between" showDropDown="false" showErrorMessage="false" showInputMessage="false" sqref="U4:U63" type="list">
      <formula1>"Sim,Não"</formula1>
      <formula2>0</formula2>
    </dataValidation>
    <dataValidation allowBlank="true" errorStyle="stop" operator="between" showDropDown="false" showErrorMessage="false" showInputMessage="false" sqref="V4:V63" type="list">
      <formula1>"Sim,Não"</formula1>
      <formula2>0</formula2>
    </dataValidation>
    <dataValidation allowBlank="true" errorStyle="stop" operator="between" showDropDown="false" showErrorMessage="false" showInputMessage="false" sqref="J4:J63" type="list">
      <formula1>"Balde 20-25 kg,Bombona 50 kg,Tambor 200-300 kg,Outro,Mais de 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</v>
      </c>
    </row>
    <row r="2" customFormat="false" ht="15" hidden="false" customHeight="false" outlineLevel="0" collapsed="false">
      <c r="A2" s="0" t="s">
        <v>39</v>
      </c>
    </row>
    <row r="3" customFormat="false" ht="15" hidden="false" customHeight="false" outlineLevel="0" collapsed="false">
      <c r="A3" s="0" t="s">
        <v>40</v>
      </c>
    </row>
    <row r="4" customFormat="false" ht="15" hidden="false" customHeight="false" outlineLevel="0" collapsed="false">
      <c r="A4" s="0" t="s">
        <v>41</v>
      </c>
    </row>
    <row r="5" customFormat="false" ht="15" hidden="false" customHeight="false" outlineLevel="0" collapsed="false">
      <c r="A5" s="0" t="s">
        <v>42</v>
      </c>
    </row>
    <row r="6" customFormat="false" ht="15" hidden="false" customHeight="false" outlineLevel="0" collapsed="false">
      <c r="A6" s="0" t="s">
        <v>43</v>
      </c>
    </row>
    <row r="7" customFormat="false" ht="15" hidden="false" customHeight="false" outlineLevel="0" collapsed="false">
      <c r="A7" s="0" t="s">
        <v>44</v>
      </c>
    </row>
    <row r="8" customFormat="false" ht="15" hidden="false" customHeight="false" outlineLevel="0" collapsed="false">
      <c r="A8" s="0" t="s">
        <v>45</v>
      </c>
    </row>
    <row r="9" customFormat="false" ht="15" hidden="false" customHeight="false" outlineLevel="0" collapsed="false">
      <c r="A9" s="0" t="s">
        <v>46</v>
      </c>
    </row>
    <row r="10" customFormat="false" ht="15" hidden="false" customHeight="false" outlineLevel="0" collapsed="false">
      <c r="A10" s="0" t="s">
        <v>47</v>
      </c>
    </row>
    <row r="11" customFormat="false" ht="15" hidden="false" customHeight="false" outlineLevel="0" collapsed="false">
      <c r="A11" s="0" t="s">
        <v>48</v>
      </c>
    </row>
    <row r="12" customFormat="false" ht="15" hidden="false" customHeight="false" outlineLevel="0" collapsed="false">
      <c r="A12" s="0" t="s">
        <v>49</v>
      </c>
    </row>
    <row r="13" customFormat="false" ht="15" hidden="false" customHeight="false" outlineLevel="0" collapsed="false">
      <c r="A13" s="0" t="s">
        <v>50</v>
      </c>
    </row>
    <row r="14" customFormat="false" ht="15" hidden="false" customHeight="false" outlineLevel="0" collapsed="false">
      <c r="A14" s="0" t="s">
        <v>51</v>
      </c>
    </row>
    <row r="15" customFormat="false" ht="15" hidden="false" customHeight="false" outlineLevel="0" collapsed="false">
      <c r="A15" s="0" t="s">
        <v>52</v>
      </c>
    </row>
    <row r="16" customFormat="false" ht="15" hidden="false" customHeight="false" outlineLevel="0" collapsed="false">
      <c r="A16" s="0" t="s">
        <v>53</v>
      </c>
    </row>
    <row r="17" customFormat="false" ht="15" hidden="false" customHeight="false" outlineLevel="0" collapsed="false">
      <c r="A17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4" t="s">
        <v>81</v>
      </c>
    </row>
    <row r="3" customFormat="false" ht="23.85" hidden="false" customHeight="false" outlineLevel="0" collapsed="false">
      <c r="A3" s="19" t="s">
        <v>82</v>
      </c>
      <c r="B3" s="19" t="s">
        <v>35</v>
      </c>
      <c r="C3" s="19" t="s">
        <v>60</v>
      </c>
      <c r="D3" s="19" t="s">
        <v>61</v>
      </c>
      <c r="E3" s="19" t="s">
        <v>83</v>
      </c>
      <c r="F3" s="19" t="s">
        <v>84</v>
      </c>
      <c r="G3" s="19" t="s">
        <v>85</v>
      </c>
      <c r="H3" s="19" t="s">
        <v>86</v>
      </c>
      <c r="I3" s="19" t="s">
        <v>80</v>
      </c>
    </row>
    <row r="4" customFormat="false" ht="15" hidden="false" customHeight="false" outlineLevel="0" collapsed="false">
      <c r="A4" s="17"/>
      <c r="B4" s="17"/>
      <c r="C4" s="17"/>
      <c r="D4" s="17"/>
      <c r="E4" s="17"/>
      <c r="F4" s="18"/>
      <c r="G4" s="17"/>
      <c r="H4" s="17"/>
      <c r="I4" s="17"/>
    </row>
    <row r="5" customFormat="false" ht="15" hidden="false" customHeight="false" outlineLevel="0" collapsed="false">
      <c r="A5" s="17"/>
      <c r="B5" s="17"/>
      <c r="C5" s="17"/>
      <c r="D5" s="17"/>
      <c r="E5" s="17"/>
      <c r="F5" s="18"/>
      <c r="G5" s="17"/>
      <c r="H5" s="17"/>
      <c r="I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8"/>
      <c r="G6" s="17"/>
      <c r="H6" s="17"/>
      <c r="I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8"/>
      <c r="G7" s="17"/>
      <c r="H7" s="17"/>
      <c r="I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8"/>
      <c r="G8" s="17"/>
      <c r="H8" s="17"/>
      <c r="I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8"/>
      <c r="G9" s="17"/>
      <c r="H9" s="17"/>
      <c r="I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8"/>
      <c r="G10" s="17"/>
      <c r="H10" s="17"/>
      <c r="I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8"/>
      <c r="G11" s="17"/>
      <c r="H11" s="17"/>
      <c r="I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8"/>
      <c r="G12" s="17"/>
      <c r="H12" s="17"/>
      <c r="I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8"/>
      <c r="G13" s="17"/>
      <c r="H13" s="17"/>
      <c r="I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8"/>
      <c r="G14" s="17"/>
      <c r="H14" s="17"/>
      <c r="I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8"/>
      <c r="G15" s="17"/>
      <c r="H15" s="17"/>
      <c r="I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8"/>
      <c r="G16" s="17"/>
      <c r="H16" s="17"/>
      <c r="I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8"/>
      <c r="G17" s="17"/>
      <c r="H17" s="17"/>
      <c r="I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8"/>
      <c r="G18" s="17"/>
      <c r="H18" s="17"/>
      <c r="I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8"/>
      <c r="G19" s="17"/>
      <c r="H19" s="17"/>
      <c r="I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8"/>
      <c r="G20" s="17"/>
      <c r="H20" s="17"/>
      <c r="I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8"/>
      <c r="G21" s="17"/>
      <c r="H21" s="17"/>
      <c r="I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8"/>
      <c r="G22" s="17"/>
      <c r="H22" s="17"/>
      <c r="I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8"/>
      <c r="G23" s="17"/>
      <c r="H23" s="17"/>
      <c r="I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8"/>
      <c r="G24" s="17"/>
      <c r="H24" s="17"/>
      <c r="I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8"/>
      <c r="G25" s="17"/>
      <c r="H25" s="17"/>
      <c r="I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8"/>
      <c r="G26" s="17"/>
      <c r="H26" s="17"/>
      <c r="I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8"/>
      <c r="G27" s="17"/>
      <c r="H27" s="17"/>
      <c r="I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8"/>
      <c r="G28" s="17"/>
      <c r="H28" s="17"/>
      <c r="I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8"/>
      <c r="G29" s="17"/>
      <c r="H29" s="17"/>
      <c r="I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8"/>
      <c r="G30" s="17"/>
      <c r="H30" s="17"/>
      <c r="I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8"/>
      <c r="G31" s="17"/>
      <c r="H31" s="17"/>
      <c r="I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8"/>
      <c r="G32" s="17"/>
      <c r="H32" s="17"/>
      <c r="I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8"/>
      <c r="G33" s="17"/>
      <c r="H33" s="17"/>
      <c r="I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8"/>
      <c r="G34" s="17"/>
      <c r="H34" s="17"/>
      <c r="I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8"/>
      <c r="G35" s="17"/>
      <c r="H35" s="17"/>
      <c r="I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8"/>
      <c r="G36" s="17"/>
      <c r="H36" s="17"/>
      <c r="I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8"/>
      <c r="G37" s="17"/>
      <c r="H37" s="17"/>
      <c r="I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8"/>
      <c r="G38" s="17"/>
      <c r="H38" s="17"/>
      <c r="I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8"/>
      <c r="G39" s="17"/>
      <c r="H39" s="17"/>
      <c r="I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8"/>
      <c r="G40" s="17"/>
      <c r="H40" s="17"/>
      <c r="I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8"/>
      <c r="G41" s="17"/>
      <c r="H41" s="17"/>
      <c r="I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8"/>
      <c r="G42" s="17"/>
      <c r="H42" s="17"/>
      <c r="I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8"/>
      <c r="G43" s="17"/>
      <c r="H43" s="17"/>
      <c r="I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8"/>
      <c r="G44" s="17"/>
      <c r="H44" s="17"/>
      <c r="I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8"/>
      <c r="G45" s="17"/>
      <c r="H45" s="17"/>
      <c r="I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8"/>
      <c r="G46" s="17"/>
      <c r="H46" s="17"/>
      <c r="I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8"/>
      <c r="G47" s="17"/>
      <c r="H47" s="17"/>
      <c r="I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8"/>
      <c r="G48" s="17"/>
      <c r="H48" s="17"/>
      <c r="I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8"/>
      <c r="G49" s="17"/>
      <c r="H49" s="17"/>
      <c r="I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8"/>
      <c r="G50" s="17"/>
      <c r="H50" s="17"/>
      <c r="I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8"/>
      <c r="G51" s="17"/>
      <c r="H51" s="17"/>
      <c r="I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8"/>
      <c r="G52" s="17"/>
      <c r="H52" s="17"/>
      <c r="I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8"/>
      <c r="G53" s="17"/>
      <c r="H53" s="17"/>
      <c r="I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8"/>
      <c r="G54" s="17"/>
      <c r="H54" s="17"/>
      <c r="I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8"/>
      <c r="G55" s="17"/>
      <c r="H55" s="17"/>
      <c r="I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8"/>
      <c r="G56" s="17"/>
      <c r="H56" s="17"/>
      <c r="I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8"/>
      <c r="G57" s="17"/>
      <c r="H57" s="17"/>
      <c r="I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8"/>
      <c r="G58" s="17"/>
      <c r="H58" s="17"/>
      <c r="I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8"/>
      <c r="G59" s="17"/>
      <c r="H59" s="17"/>
      <c r="I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8"/>
      <c r="G60" s="17"/>
      <c r="H60" s="17"/>
      <c r="I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8"/>
      <c r="G61" s="17"/>
      <c r="H61" s="17"/>
      <c r="I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8"/>
      <c r="G62" s="17"/>
      <c r="H62" s="17"/>
      <c r="I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8"/>
      <c r="G63" s="17"/>
      <c r="H63" s="17"/>
      <c r="I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8"/>
      <c r="G64" s="17"/>
      <c r="H64" s="17"/>
      <c r="I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8"/>
      <c r="G65" s="17"/>
      <c r="H65" s="17"/>
      <c r="I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8"/>
      <c r="G66" s="17"/>
      <c r="H66" s="17"/>
      <c r="I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8"/>
      <c r="G67" s="17"/>
      <c r="H67" s="17"/>
      <c r="I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8"/>
      <c r="G68" s="17"/>
      <c r="H68" s="17"/>
      <c r="I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8"/>
      <c r="G69" s="17"/>
      <c r="H69" s="17"/>
      <c r="I69" s="17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8"/>
      <c r="G70" s="17"/>
      <c r="H70" s="17"/>
      <c r="I70" s="17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8"/>
      <c r="G71" s="17"/>
      <c r="H71" s="17"/>
      <c r="I71" s="17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8"/>
      <c r="G72" s="17"/>
      <c r="H72" s="17"/>
      <c r="I72" s="17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8"/>
      <c r="G73" s="17"/>
      <c r="H73" s="17"/>
      <c r="I73" s="17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8"/>
      <c r="G74" s="17"/>
      <c r="H74" s="17"/>
      <c r="I74" s="17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8"/>
      <c r="G75" s="17"/>
      <c r="H75" s="17"/>
      <c r="I75" s="17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8"/>
      <c r="G76" s="17"/>
      <c r="H76" s="17"/>
      <c r="I76" s="17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8"/>
      <c r="G77" s="17"/>
      <c r="H77" s="17"/>
      <c r="I77" s="17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8"/>
      <c r="G78" s="17"/>
      <c r="H78" s="17"/>
      <c r="I78" s="17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8"/>
      <c r="G79" s="17"/>
      <c r="H79" s="17"/>
      <c r="I79" s="17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8"/>
      <c r="G80" s="17"/>
      <c r="H80" s="17"/>
      <c r="I80" s="17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8"/>
      <c r="G81" s="17"/>
      <c r="H81" s="17"/>
      <c r="I81" s="17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8"/>
      <c r="G82" s="17"/>
      <c r="H82" s="17"/>
      <c r="I82" s="17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8"/>
      <c r="G83" s="17"/>
      <c r="H83" s="17"/>
      <c r="I83" s="17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8"/>
      <c r="G84" s="17"/>
      <c r="H84" s="17"/>
      <c r="I84" s="17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8"/>
      <c r="G85" s="17"/>
      <c r="H85" s="17"/>
      <c r="I85" s="17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8"/>
      <c r="G86" s="17"/>
      <c r="H86" s="17"/>
      <c r="I86" s="17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8"/>
      <c r="G87" s="17"/>
      <c r="H87" s="17"/>
      <c r="I87" s="17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8"/>
      <c r="G88" s="17"/>
      <c r="H88" s="17"/>
      <c r="I88" s="17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8"/>
      <c r="G89" s="17"/>
      <c r="H89" s="17"/>
      <c r="I89" s="17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8"/>
      <c r="G90" s="17"/>
      <c r="H90" s="17"/>
      <c r="I90" s="17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8"/>
      <c r="G91" s="17"/>
      <c r="H91" s="17"/>
      <c r="I91" s="17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8"/>
      <c r="G92" s="17"/>
      <c r="H92" s="17"/>
      <c r="I92" s="17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8"/>
      <c r="G93" s="17"/>
      <c r="H93" s="17"/>
      <c r="I93" s="17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8"/>
      <c r="G94" s="17"/>
      <c r="H94" s="17"/>
      <c r="I94" s="17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8"/>
      <c r="G95" s="17"/>
      <c r="H95" s="17"/>
      <c r="I95" s="17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8"/>
      <c r="G96" s="17"/>
      <c r="H96" s="17"/>
      <c r="I96" s="17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8"/>
      <c r="G97" s="17"/>
      <c r="H97" s="17"/>
      <c r="I97" s="17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8"/>
      <c r="G98" s="17"/>
      <c r="H98" s="17"/>
      <c r="I98" s="17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8"/>
      <c r="G99" s="17"/>
      <c r="H99" s="17"/>
      <c r="I99" s="17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8"/>
      <c r="G100" s="17"/>
      <c r="H100" s="17"/>
      <c r="I100" s="17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8"/>
      <c r="G101" s="17"/>
      <c r="H101" s="17"/>
      <c r="I101" s="17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8"/>
      <c r="G102" s="17"/>
      <c r="H102" s="17"/>
      <c r="I102" s="17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8"/>
      <c r="G103" s="17"/>
      <c r="H103" s="17"/>
      <c r="I103" s="17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8"/>
      <c r="G104" s="17"/>
      <c r="H104" s="17"/>
      <c r="I104" s="17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8"/>
      <c r="G105" s="17"/>
      <c r="H105" s="17"/>
      <c r="I105" s="17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8"/>
      <c r="G106" s="17"/>
      <c r="H106" s="17"/>
      <c r="I106" s="17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8"/>
      <c r="G107" s="17"/>
      <c r="H107" s="17"/>
      <c r="I107" s="17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8"/>
      <c r="G108" s="17"/>
      <c r="H108" s="17"/>
      <c r="I108" s="17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8"/>
      <c r="G109" s="17"/>
      <c r="H109" s="17"/>
      <c r="I109" s="17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8"/>
      <c r="G110" s="17"/>
      <c r="H110" s="17"/>
      <c r="I110" s="17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8"/>
      <c r="G111" s="17"/>
      <c r="H111" s="17"/>
      <c r="I111" s="17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8"/>
      <c r="G112" s="17"/>
      <c r="H112" s="17"/>
      <c r="I112" s="17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8"/>
      <c r="G113" s="17"/>
      <c r="H113" s="17"/>
      <c r="I113" s="17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8"/>
      <c r="G114" s="17"/>
      <c r="H114" s="17"/>
      <c r="I114" s="17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8"/>
      <c r="G115" s="17"/>
      <c r="H115" s="17"/>
      <c r="I115" s="17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8"/>
      <c r="G116" s="17"/>
      <c r="H116" s="17"/>
      <c r="I116" s="17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8"/>
      <c r="G117" s="17"/>
      <c r="H117" s="17"/>
      <c r="I117" s="17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8"/>
      <c r="G118" s="17"/>
      <c r="H118" s="17"/>
      <c r="I118" s="17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8"/>
      <c r="G119" s="17"/>
      <c r="H119" s="17"/>
      <c r="I119" s="17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8"/>
      <c r="G120" s="17"/>
      <c r="H120" s="17"/>
      <c r="I120" s="17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8"/>
      <c r="G121" s="17"/>
      <c r="H121" s="17"/>
      <c r="I121" s="17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8"/>
      <c r="G122" s="17"/>
      <c r="H122" s="17"/>
      <c r="I122" s="17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8"/>
      <c r="G123" s="17"/>
      <c r="H123" s="17"/>
      <c r="I123" s="17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8"/>
      <c r="G124" s="17"/>
      <c r="H124" s="17"/>
      <c r="I124" s="17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8"/>
      <c r="G125" s="17"/>
      <c r="H125" s="17"/>
      <c r="I125" s="17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8"/>
      <c r="G126" s="17"/>
      <c r="H126" s="17"/>
      <c r="I126" s="17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8"/>
      <c r="G127" s="17"/>
      <c r="H127" s="17"/>
      <c r="I127" s="17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8"/>
      <c r="G128" s="17"/>
      <c r="H128" s="17"/>
      <c r="I128" s="17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8"/>
      <c r="G129" s="17"/>
      <c r="H129" s="17"/>
      <c r="I129" s="17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8"/>
      <c r="G130" s="17"/>
      <c r="H130" s="17"/>
      <c r="I130" s="17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8"/>
      <c r="G131" s="17"/>
      <c r="H131" s="17"/>
      <c r="I131" s="17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8"/>
      <c r="G132" s="17"/>
      <c r="H132" s="17"/>
      <c r="I132" s="17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8"/>
      <c r="G133" s="17"/>
      <c r="H133" s="17"/>
      <c r="I133" s="17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8"/>
      <c r="G134" s="17"/>
      <c r="H134" s="17"/>
      <c r="I134" s="17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8"/>
      <c r="G135" s="17"/>
      <c r="H135" s="17"/>
      <c r="I135" s="17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8"/>
      <c r="G136" s="17"/>
      <c r="H136" s="17"/>
      <c r="I136" s="17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8"/>
      <c r="G137" s="17"/>
      <c r="H137" s="17"/>
      <c r="I137" s="17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8"/>
      <c r="G138" s="17"/>
      <c r="H138" s="17"/>
      <c r="I138" s="17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8"/>
      <c r="G139" s="17"/>
      <c r="H139" s="17"/>
      <c r="I139" s="17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8"/>
      <c r="G140" s="17"/>
      <c r="H140" s="17"/>
      <c r="I140" s="17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8"/>
      <c r="G141" s="17"/>
      <c r="H141" s="17"/>
      <c r="I141" s="17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8"/>
      <c r="G142" s="17"/>
      <c r="H142" s="17"/>
      <c r="I142" s="17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8"/>
      <c r="G143" s="17"/>
      <c r="H143" s="17"/>
      <c r="I143" s="17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8"/>
      <c r="G144" s="17"/>
      <c r="H144" s="17"/>
      <c r="I144" s="17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8"/>
      <c r="G145" s="17"/>
      <c r="H145" s="17"/>
      <c r="I145" s="17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8"/>
      <c r="G146" s="17"/>
      <c r="H146" s="17"/>
      <c r="I146" s="17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8"/>
      <c r="G147" s="17"/>
      <c r="H147" s="17"/>
      <c r="I147" s="17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8"/>
      <c r="G148" s="17"/>
      <c r="H148" s="17"/>
      <c r="I148" s="17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8"/>
      <c r="G149" s="17"/>
      <c r="H149" s="17"/>
      <c r="I149" s="17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8"/>
      <c r="G150" s="17"/>
      <c r="H150" s="17"/>
      <c r="I150" s="17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8"/>
      <c r="G151" s="17"/>
      <c r="H151" s="17"/>
      <c r="I151" s="17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8"/>
      <c r="G152" s="17"/>
      <c r="H152" s="17"/>
      <c r="I152" s="17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8"/>
      <c r="G153" s="17"/>
      <c r="H153" s="17"/>
      <c r="I153" s="17"/>
    </row>
  </sheetData>
  <dataValidations count="4">
    <dataValidation allowBlank="true" errorStyle="stop" operator="between" showDropDown="false" showErrorMessage="false" showInputMessage="false" sqref="B4:B153" type="list">
      <formula1>Listas!$A$1:$A$17</formula1>
      <formula2>0</formula2>
    </dataValidation>
    <dataValidation allowBlank="true" errorStyle="stop" operator="between" showDropDown="false" showErrorMessage="false" showInputMessage="false" sqref="E4:E153" type="list">
      <formula1>"Sindicato Rural,Emater,Associação,Secretaria de Agricultura,Indicação,Outro"</formula1>
      <formula2>0</formula2>
    </dataValidation>
    <dataValidation allowBlank="true" errorStyle="stop" operator="between" showDropDown="false" showErrorMessage="false" showInputMessage="false" sqref="G4:G153" type="list">
      <formula1>"A convidar,Convidado,Interessado,Ficha entregue,Ficha assinada,Não quer"</formula1>
      <formula2>0</formula2>
    </dataValidation>
    <dataValidation allowBlank="true" errorStyle="stop" operator="between" showDropDown="false" showErrorMessage="false" showInputMessage="false" sqref="H4:H153" type="list">
      <formula1>"Sim,Não,Talvez"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2026-10-08T15:50:23Z</dcterms:created>
  <dc:creator>openpyxl</dc:creator>
  <dc:description/>
  <dc:language>en-US</dc:language>
  <cp:lastModifiedBy/>
  <dcterms:modified xsi:type="dcterms:W3CDTF">2026-10-08T15:50:23Z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