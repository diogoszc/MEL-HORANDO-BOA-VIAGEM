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Premissas" sheetId="2" state="visible" r:id="rId4"/>
    <sheet name="Pessoal" sheetId="3" state="visible" r:id="rId5"/>
    <sheet name="Fluxo" sheetId="4" state="visible" r:id="rId6"/>
    <sheet name="Resumo" sheetId="5" state="visible" r:id="rId7"/>
    <sheet name="Giro" sheetId="6" state="visible" r:id="rId8"/>
    <sheet name="Cenarios_BNB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<sst xmlns="http://schemas.openxmlformats.org/spreadsheetml/2006/main" count="310" uniqueCount="255">
  <si>
    <t xml:space="preserve">MHBV-02A · Modelo Financeiro da Cooperativa · MHBV 071026 (07/10/2026) (Entreposto Regional)</t>
  </si>
  <si>
    <t xml:space="preserve">Modelo do Entreposto Regional: 630 m² úteis / ≈ 666 m² construídos (decisão D1, 07/10/2026 — MHBV-18), 350 t de capacidade, 250 t de regime, Crédito Híbrido FNE (investimento + giro renovável) + capital próprio.</t>
  </si>
  <si>
    <t xml:space="preserve">Azul = premissa editável (aba Premissas). Preto = fórmula. Tudo recalcula sozinho.</t>
  </si>
  <si>
    <t xml:space="preserve">Cobertura da dívida = (EBITDA + retenção de 5%) ÷ (juros + amortização do FNE investimento + juros do FNE giro).</t>
  </si>
  <si>
    <t xml:space="preserve">FNE giro renovável a cada safra: só os juros entram no serviço da dívida; o principal volta com a venda do estoque (CONFIRMAR COM BNB).</t>
  </si>
  <si>
    <t xml:space="preserve">Itens marcados ESTIMATIVA ou PREMISSA precisam de cotação/orçamento real antes do protocolo no BNB.</t>
  </si>
  <si>
    <t xml:space="preserve">Abas: Premissas · Pessoal · Fluxo · Resumo · Giro · Cenarios_BNB.</t>
  </si>
  <si>
    <t xml:space="preserve">PREMISSAS · Entreposto Regional MEL-HORANDO (MHBV-02A · MHBV 071026 (07/10/2026))</t>
  </si>
  <si>
    <t xml:space="preserve">Premissa</t>
  </si>
  <si>
    <t xml:space="preserve">Valor</t>
  </si>
  <si>
    <t xml:space="preserve">Unidade</t>
  </si>
  <si>
    <t xml:space="preserve">Fonte / observação</t>
  </si>
  <si>
    <t xml:space="preserve">CHAVES DE CENÁRIO (sensibilidade)</t>
  </si>
  <si>
    <t xml:space="preserve">Fator sobre o preço do mel (venda e, por indexação, preço ao cooperado)</t>
  </si>
  <si>
    <t xml:space="preserve">×</t>
  </si>
  <si>
    <t xml:space="preserve">1,00 = base; 0,80 = mel −20%.</t>
  </si>
  <si>
    <t xml:space="preserve">Fator sobre o volume recebido</t>
  </si>
  <si>
    <t xml:space="preserve">1,00 = base.</t>
  </si>
  <si>
    <t xml:space="preserve">Fator sobre o investimento</t>
  </si>
  <si>
    <t xml:space="preserve">INVESTIMENTO E FINANCIAMENTO</t>
  </si>
  <si>
    <t xml:space="preserve">Obras civis (630 m² úteis / ≈ 666 m² construídos, fluxo em 1 direção – Port. SDA/MAPA 795/2023)</t>
  </si>
  <si>
    <t xml:space="preserve">R$</t>
  </si>
  <si>
    <t xml:space="preserve">Decisão D1 (07/10/2026): MHBV-18 Cenário 2 — orçado por tipo de área (R$ 1.353.700) + 6% estrutura (R$ 79.548) + BDI 25% = R$ 1.791.560. Preços unitários REQUEREM VERIFICAÇÃO EXTERNA; substituir pelo projeto executivo (fev/2027). Antes: R$ 1,30 mi (550 m², sem BDI).</t>
  </si>
  <si>
    <t xml:space="preserve">Equipamentos de processo + laboratório local (IN MAPA 11/2000)</t>
  </si>
  <si>
    <t xml:space="preserve">Preços unitários do projeto técnico anterior (1 linha + envase de sachê + lab básico), sem cotação. Validar com 3 orçamentos por item.</t>
  </si>
  <si>
    <t xml:space="preserve">Projetos, licenças, instalação e imprevistos</t>
  </si>
  <si>
    <t xml:space="preserve">ESTIMATIVA (≈ 10% de obra + equipamentos) — MHBV-18 §5.</t>
  </si>
  <si>
    <t xml:space="preserve">Investimento total no cenário</t>
  </si>
  <si>
    <t xml:space="preserve">Fórmula. Base = R$ 3,83 mi (antes R$ 3,29 mi).</t>
  </si>
  <si>
    <t xml:space="preserve">FNE investimento (Coopera)</t>
  </si>
  <si>
    <t xml:space="preserve">Pleito: R$ 2,0 mi (≈ 52%) — teto pela cobertura ≥ 1,50x com mel −20% (MHBV-18 §6). Contrapartida R$ 1,83 mi (≈ 48%).</t>
  </si>
  <si>
    <t xml:space="preserve">Taxa de juros FNE</t>
  </si>
  <si>
    <t xml:space="preserve">% a.a.</t>
  </si>
  <si>
    <t xml:space="preserve">Premissa: meio da faixa 7,65%–12,45% a.a. CONFIRMAR COM BNB.</t>
  </si>
  <si>
    <t xml:space="preserve">Prazo total FNE investimento</t>
  </si>
  <si>
    <t xml:space="preserve">anos</t>
  </si>
  <si>
    <t xml:space="preserve">FNE Coopera – investimento fixo: até 12 anos (bnb.gov.br).</t>
  </si>
  <si>
    <t xml:space="preserve">Carência (só juros)</t>
  </si>
  <si>
    <t xml:space="preserve">Até 4 anos.</t>
  </si>
  <si>
    <t xml:space="preserve">Fração de ano de juros durante a obra (ano 0)</t>
  </si>
  <si>
    <t xml:space="preserve">ano</t>
  </si>
  <si>
    <t xml:space="preserve">Liberação em parcelas.</t>
  </si>
  <si>
    <t xml:space="preserve">VOLUME (t de mel recebidas dos cooperados)</t>
  </si>
  <si>
    <t xml:space="preserve">Capacidade instalada</t>
  </si>
  <si>
    <t xml:space="preserve">t/ano</t>
  </si>
  <si>
    <t xml:space="preserve">Projeto do entreposto.</t>
  </si>
  <si>
    <t xml:space="preserve">Volume ano 1 da planta</t>
  </si>
  <si>
    <t xml:space="preserve">t</t>
  </si>
  <si>
    <t xml:space="preserve">Piloto SIE (Fase 0, imóvel locado): 150 t (2027) → 200 t (2028). Planta abre na transição.</t>
  </si>
  <si>
    <t xml:space="preserve">Volume ano 2 da planta</t>
  </si>
  <si>
    <t xml:space="preserve">Regime (250 t) a partir do ano 2 da planta = ano 3 desde o início do piloto.</t>
  </si>
  <si>
    <t xml:space="preserve">Volume ano 3 em diante</t>
  </si>
  <si>
    <t xml:space="preserve">IBGE/PPM 2024: Boa Viagem + 16 municípios (Anexo I fechado, campo 17 = Banabuiú — decisão D4) = 521 t.</t>
  </si>
  <si>
    <t xml:space="preserve">Perda de processo (filtração, borra, amostras)</t>
  </si>
  <si>
    <t xml:space="preserve">%</t>
  </si>
  <si>
    <t xml:space="preserve">Premissa técnica; validar com o RT.</t>
  </si>
  <si>
    <t xml:space="preserve">Parcela vendida em sachê (400 g / 700 g / 1,4 kg)</t>
  </si>
  <si>
    <t xml:space="preserve">Mix 60% sachê / 40% granel.</t>
  </si>
  <si>
    <t xml:space="preserve">PREÇOS (R$/kg)</t>
  </si>
  <si>
    <t xml:space="preserve">Preço médio do sachê (atacado, sem frete)</t>
  </si>
  <si>
    <t xml:space="preserve">R$/kg</t>
  </si>
  <si>
    <t xml:space="preserve">PREMISSA A VALIDAR com cartas de intenção de compradores.</t>
  </si>
  <si>
    <t xml:space="preserve">Preço do granel no mercado interno (índice PAA/Conab-CE)</t>
  </si>
  <si>
    <t xml:space="preserve">Índice de referência do Regimento (o CEPEA não publica mel). Atualizar na data do protocolo.</t>
  </si>
  <si>
    <t xml:space="preserve">Percentual pago ao cooperado sobre o granel</t>
  </si>
  <si>
    <t xml:space="preserve">Decisão 30/09/2026: 65% (cobertura ≥ 1,5x com mel −20%). Regimento 00C, item 3.</t>
  </si>
  <si>
    <t xml:space="preserve">Preço ao cooperado</t>
  </si>
  <si>
    <t xml:space="preserve">Fórmula: 65% × 18,55 = R$ 12,06/kg na base.</t>
  </si>
  <si>
    <t xml:space="preserve">Parte paga na entrega</t>
  </si>
  <si>
    <t xml:space="preserve">Regimento: 50% na entrega.</t>
  </si>
  <si>
    <t xml:space="preserve">Parte paga em 90 dias</t>
  </si>
  <si>
    <t xml:space="preserve">Regimento: 20% em 90 dias; saldo como sobra no fim do exercício.</t>
  </si>
  <si>
    <t xml:space="preserve">Retenção de capital sobre o mel entregue</t>
  </si>
  <si>
    <t xml:space="preserve">Cota-parte (Estatuto/Regimento). Fica na Cooperativa.</t>
  </si>
  <si>
    <t xml:space="preserve">Preço pago pelo atravessador (referência)</t>
  </si>
  <si>
    <t xml:space="preserve">Portal LJ, 23/07/2025 ("já chegou a R$ 12"). Só para o indicador social.</t>
  </si>
  <si>
    <t xml:space="preserve">CUSTOS VARIÁVEIS</t>
  </si>
  <si>
    <t xml:space="preserve">Embalagem do sachê (filme, caixa, rótulo)</t>
  </si>
  <si>
    <t xml:space="preserve">Premissa; cotar.</t>
  </si>
  <si>
    <t xml:space="preserve">Tambor com verniz sanitário (granel)</t>
  </si>
  <si>
    <t xml:space="preserve">Premissa.</t>
  </si>
  <si>
    <t xml:space="preserve">Frete de entrega do sachê</t>
  </si>
  <si>
    <t xml:space="preserve">% rec. sachê</t>
  </si>
  <si>
    <t xml:space="preserve">Premissa (CE; venda só no CE até o SIF).</t>
  </si>
  <si>
    <t xml:space="preserve">Frete do granel</t>
  </si>
  <si>
    <t xml:space="preserve">Comercial e marketing do sachê</t>
  </si>
  <si>
    <t xml:space="preserve">Licença da marca Fiore di Campo</t>
  </si>
  <si>
    <t xml:space="preserve">Parte relacionada: AGE + preço de mercado.</t>
  </si>
  <si>
    <t xml:space="preserve">Energia e água de processo</t>
  </si>
  <si>
    <t xml:space="preserve">Tributos líquidos sobre vendas</t>
  </si>
  <si>
    <t xml:space="preserve">% receita</t>
  </si>
  <si>
    <t xml:space="preserve">PREMISSA A VALIDAR COM CONTADOR (ICMS-CE + PIS/Cofins).</t>
  </si>
  <si>
    <t xml:space="preserve">CUSTOS FIXOS</t>
  </si>
  <si>
    <t xml:space="preserve">Pessoal (aba Pessoal)</t>
  </si>
  <si>
    <t xml:space="preserve">R$/ano</t>
  </si>
  <si>
    <t xml:space="preserve">Quadro enxuto do entreposto.</t>
  </si>
  <si>
    <t xml:space="preserve">Responsável Técnico (contrato de prestação de serviço)</t>
  </si>
  <si>
    <t xml:space="preserve">Tabela de cruzamento 29/09: R$ 60 mil/ano.</t>
  </si>
  <si>
    <t xml:space="preserve">Laboratório externo ISO 17025 (PNCRC, 1 amostra por lote de cooperado)</t>
  </si>
  <si>
    <t xml:space="preserve">Tabela 29/09: R$ 40 mil/ano. Cotação nov/2026.</t>
  </si>
  <si>
    <t xml:space="preserve">Administrativas (contabilidade, TI, OCB, certificações)</t>
  </si>
  <si>
    <t xml:space="preserve">Energia fixa e utilidades</t>
  </si>
  <si>
    <t xml:space="preserve">Manutenção de obras civis</t>
  </si>
  <si>
    <t xml:space="preserve">Manutenção de equipamentos</t>
  </si>
  <si>
    <t xml:space="preserve">Seguros</t>
  </si>
  <si>
    <t xml:space="preserve">% a.a. do invest.</t>
  </si>
  <si>
    <t xml:space="preserve">GIRO, DEPRECIAÇÃO, SOBRAS</t>
  </si>
  <si>
    <t xml:space="preserve">FNE giro (renovável a cada safra – só juros no caixa)</t>
  </si>
  <si>
    <t xml:space="preserve">Plano de giro 29/09. Prazo/renovação NÃO publicados: CONFIRMAR COM BNB.</t>
  </si>
  <si>
    <t xml:space="preserve">Vida útil obras civis</t>
  </si>
  <si>
    <t xml:space="preserve">Premissa contábil.</t>
  </si>
  <si>
    <t xml:space="preserve">Vida útil equipamentos</t>
  </si>
  <si>
    <t xml:space="preserve">IRPJ/CSLL sobre ato cooperativo</t>
  </si>
  <si>
    <t xml:space="preserve">Lei 5.764/1971, arts. 79 e 111 (mel só de associados).</t>
  </si>
  <si>
    <t xml:space="preserve">Taxa de desconto (VPL)</t>
  </si>
  <si>
    <t xml:space="preserve">Premissa = custo FNE base.</t>
  </si>
  <si>
    <t xml:space="preserve">PESSOAL · quadro enxuto do entreposto (CLT: salário × 13,33 × (1+35,8%) + R$ 400/mês)</t>
  </si>
  <si>
    <t xml:space="preserve">Setor</t>
  </si>
  <si>
    <t xml:space="preserve">Função</t>
  </si>
  <si>
    <t xml:space="preserve">Qtd.</t>
  </si>
  <si>
    <t xml:space="preserve">Salário mensal (R$)</t>
  </si>
  <si>
    <t xml:space="preserve">Tipo</t>
  </si>
  <si>
    <t xml:space="preserve">Custo anual (R$)</t>
  </si>
  <si>
    <t xml:space="preserve">Gestão</t>
  </si>
  <si>
    <t xml:space="preserve">Gerente do entreposto</t>
  </si>
  <si>
    <t xml:space="preserve">CLT</t>
  </si>
  <si>
    <t xml:space="preserve">Assistente administrativo-financeiro</t>
  </si>
  <si>
    <t xml:space="preserve">Qualidade</t>
  </si>
  <si>
    <t xml:space="preserve">Técnico de laboratório / monitor de BPF</t>
  </si>
  <si>
    <t xml:space="preserve">Produção</t>
  </si>
  <si>
    <t xml:space="preserve">Operador de recepção e beneficiamento</t>
  </si>
  <si>
    <t xml:space="preserve">Operador de envase e rotulagem</t>
  </si>
  <si>
    <t xml:space="preserve">Auxiliar de higienização</t>
  </si>
  <si>
    <t xml:space="preserve">Logística</t>
  </si>
  <si>
    <t xml:space="preserve">Auxiliar de expedição / motorista</t>
  </si>
  <si>
    <t xml:space="preserve">Comercial</t>
  </si>
  <si>
    <t xml:space="preserve">Vendedor (CE)</t>
  </si>
  <si>
    <t xml:space="preserve">TOTAL</t>
  </si>
  <si>
    <t xml:space="preserve">RT fica fora do quadro: contrato de prestação de serviço (Premissas). Salários = premissa a validar.</t>
  </si>
  <si>
    <t xml:space="preserve">FLUXO ANUAL · ano 0 = obra · anos 1 a 12 = operação (R$)</t>
  </si>
  <si>
    <t xml:space="preserve">Linha</t>
  </si>
  <si>
    <t xml:space="preserve">Ano 0</t>
  </si>
  <si>
    <t xml:space="preserve">Ano 1</t>
  </si>
  <si>
    <t xml:space="preserve">Ano 2</t>
  </si>
  <si>
    <t xml:space="preserve">Ano 3</t>
  </si>
  <si>
    <t xml:space="preserve">Ano 4</t>
  </si>
  <si>
    <t xml:space="preserve">Ano 5</t>
  </si>
  <si>
    <t xml:space="preserve">Ano 6</t>
  </si>
  <si>
    <t xml:space="preserve">Ano 7</t>
  </si>
  <si>
    <t xml:space="preserve">Ano 8</t>
  </si>
  <si>
    <t xml:space="preserve">Ano 9</t>
  </si>
  <si>
    <t xml:space="preserve">Ano 10</t>
  </si>
  <si>
    <t xml:space="preserve">Ano 11</t>
  </si>
  <si>
    <t xml:space="preserve">Ano 12</t>
  </si>
  <si>
    <t xml:space="preserve">Volume recebido (t)</t>
  </si>
  <si>
    <t xml:space="preserve">Uso da capacidade</t>
  </si>
  <si>
    <t xml:space="preserve">Volume vendido (t)</t>
  </si>
  <si>
    <t xml:space="preserve">Sachê (t)</t>
  </si>
  <si>
    <t xml:space="preserve">Granel (t)</t>
  </si>
  <si>
    <t xml:space="preserve">Receita sachê</t>
  </si>
  <si>
    <t xml:space="preserve">Receita granel</t>
  </si>
  <si>
    <t xml:space="preserve">RECEITA BRUTA</t>
  </si>
  <si>
    <t xml:space="preserve">Tributos sobre vendas</t>
  </si>
  <si>
    <t xml:space="preserve">Mel pago ao cooperado (valor total)</t>
  </si>
  <si>
    <t xml:space="preserve">Embalagem sachê + tambor</t>
  </si>
  <si>
    <t xml:space="preserve">Fretes</t>
  </si>
  <si>
    <t xml:space="preserve">Comercial + licença de marca</t>
  </si>
  <si>
    <t xml:space="preserve">Energia de processo</t>
  </si>
  <si>
    <t xml:space="preserve">MARGEM DE CONTRIBUIÇÃO</t>
  </si>
  <si>
    <t xml:space="preserve">Pessoal</t>
  </si>
  <si>
    <t xml:space="preserve">RT + laboratório externo</t>
  </si>
  <si>
    <t xml:space="preserve">Administrativas + energia fixa</t>
  </si>
  <si>
    <t xml:space="preserve">Manutenção + seguros</t>
  </si>
  <si>
    <t xml:space="preserve">EBITDA</t>
  </si>
  <si>
    <t xml:space="preserve">Margem EBITDA</t>
  </si>
  <si>
    <t xml:space="preserve">Depreciação</t>
  </si>
  <si>
    <t xml:space="preserve">Saldo FNE investimento (início)</t>
  </si>
  <si>
    <t xml:space="preserve">Juros FNE investimento</t>
  </si>
  <si>
    <t xml:space="preserve">Amortização FNE investimento</t>
  </si>
  <si>
    <t xml:space="preserve">Juros FNE giro (renovável)</t>
  </si>
  <si>
    <t xml:space="preserve">SERVIÇO DA DÍVIDA (anos 1-12)</t>
  </si>
  <si>
    <t xml:space="preserve">Retenção de 5% (cota-parte, fica no caixa)</t>
  </si>
  <si>
    <t xml:space="preserve">CAIXA PARA A DÍVIDA (EBITDA + retenção)</t>
  </si>
  <si>
    <t xml:space="preserve">COBERTURA DA DÍVIDA (DSCR)</t>
  </si>
  <si>
    <t xml:space="preserve">Cobertura operacional SEM a retenção</t>
  </si>
  <si>
    <t xml:space="preserve">Sobras do exercício (após juros e depreciação)</t>
  </si>
  <si>
    <t xml:space="preserve">Fluxo do projeto (desalavancado)</t>
  </si>
  <si>
    <t xml:space="preserve">Fluxo dos cooperados (contrapartida, dívida, retenção)</t>
  </si>
  <si>
    <t xml:space="preserve">Ganho dos apicultores sobre o atravessador</t>
  </si>
  <si>
    <t xml:space="preserve">RESUMO · Entreposto Regional (fonte única de números da suíte MHBV 1.0)</t>
  </si>
  <si>
    <t xml:space="preserve">Indicador</t>
  </si>
  <si>
    <t xml:space="preserve">Investimento total</t>
  </si>
  <si>
    <t xml:space="preserve">FNE investimento</t>
  </si>
  <si>
    <t xml:space="preserve">Capital próprio (contrapartida)</t>
  </si>
  <si>
    <t xml:space="preserve">FNE giro (renovável)</t>
  </si>
  <si>
    <t xml:space="preserve">Total financiado FNE</t>
  </si>
  <si>
    <t xml:space="preserve">Taxa FNE no modelo</t>
  </si>
  <si>
    <t xml:space="preserve">Volume no regime (ano 2 em diante)</t>
  </si>
  <si>
    <t xml:space="preserve">Receita bruta no regime (250 t)</t>
  </si>
  <si>
    <t xml:space="preserve">EBITDA no regime (250 t)</t>
  </si>
  <si>
    <t xml:space="preserve">Margem EBITDA no regime</t>
  </si>
  <si>
    <t xml:space="preserve">Preço ao cooperado (R$/kg)</t>
  </si>
  <si>
    <t xml:space="preserve">Compra anual de mel no regime</t>
  </si>
  <si>
    <t xml:space="preserve">Retenção de 5% no regime (R$/ano)</t>
  </si>
  <si>
    <t xml:space="preserve">COBERTURA MÍNIMA DA DÍVIDA – anos 1 a 12</t>
  </si>
  <si>
    <t xml:space="preserve">Ano da cobertura mínima</t>
  </si>
  <si>
    <t xml:space="preserve">Cobertura média – anos 5 a 12 (amortização)</t>
  </si>
  <si>
    <t xml:space="preserve">Cobertura operacional mínima SEM retenção</t>
  </si>
  <si>
    <t xml:space="preserve">TIR do projeto (12 anos, sem valor residual)</t>
  </si>
  <si>
    <t xml:space="preserve">VPL do projeto</t>
  </si>
  <si>
    <t xml:space="preserve">TIR dos cooperados</t>
  </si>
  <si>
    <t xml:space="preserve">Ganho dos apicultores sobre o atravessador (12 anos)</t>
  </si>
  <si>
    <t xml:space="preserve">Quadro fixo (pessoas)</t>
  </si>
  <si>
    <t xml:space="preserve">Sobra distribuível por kg no ano 6 (após Reserva 10% + FATES 5%)</t>
  </si>
  <si>
    <t xml:space="preserve">Preço efetivo ao cooperado no ano 6 (adiantamento + sobra, R$/kg)</t>
  </si>
  <si>
    <t xml:space="preserve">Piso BNB usado no projeto: cobertura ≥ 1,5x com mel −20% (ver Cenarios_BNB). Base D1 (07/10/2026): obra R$ 1,79 mi, investimento R$ 3,83 mi. Todos os custos marcados como ESTIMATIVA/PREMISSA devem ser trocados por cotação real.</t>
  </si>
  <si>
    <t xml:space="preserve">PLANO DE GIRO · ano de regime (250 t)</t>
  </si>
  <si>
    <t xml:space="preserve">Item</t>
  </si>
  <si>
    <t xml:space="preserve">Valor (R$)</t>
  </si>
  <si>
    <t xml:space="preserve">Observação</t>
  </si>
  <si>
    <t xml:space="preserve">Compra anual de mel</t>
  </si>
  <si>
    <t xml:space="preserve">Volume × preço ao cooperado.</t>
  </si>
  <si>
    <t xml:space="preserve">Necessidade bruta (estoque de safra ≈ 49% da compra)</t>
  </si>
  <si>
    <t xml:space="preserve">Método do plano de 29/09 (49% da compra anual).</t>
  </si>
  <si>
    <t xml:space="preserve">− granel vendido logo (40%)</t>
  </si>
  <si>
    <t xml:space="preserve">Só o estoque de sachê fica parado.</t>
  </si>
  <si>
    <t xml:space="preserve">Estoque parado de sachê</t>
  </si>
  <si>
    <t xml:space="preserve">− pagamento escalonado (30% só no fim do exercício)</t>
  </si>
  <si>
    <t xml:space="preserve">50% na entrega + 20% em 90 dias.</t>
  </si>
  <si>
    <t xml:space="preserve">Necessidade líquida a financiar</t>
  </si>
  <si>
    <t xml:space="preserve">Coberta pelo FNE giro + retenção.</t>
  </si>
  <si>
    <t xml:space="preserve">Coberta por: FNE giro renovável</t>
  </si>
  <si>
    <t xml:space="preserve">Garantia: penhor do estoque de sachê.</t>
  </si>
  <si>
    <t xml:space="preserve">Coberta por: retenção de 5% (1º ano de regime)</t>
  </si>
  <si>
    <t xml:space="preserve">Retenção anual no regime em Resumo.</t>
  </si>
  <si>
    <t xml:space="preserve">Juros anuais do giro (entram na dívida)</t>
  </si>
  <si>
    <t xml:space="preserve">O principal volta com a venda do estoque.</t>
  </si>
  <si>
    <t xml:space="preserve">CENÁRIOS BNB · valores gravados pelo recálculo do próprio modelo (LibreOffice) em 07/10/2026 · base D1 (obra R$ 1,79 mi; investimento R$ 3,83 mi)</t>
  </si>
  <si>
    <t xml:space="preserve">Cenário</t>
  </si>
  <si>
    <t xml:space="preserve">Cobertura mín.</t>
  </si>
  <si>
    <t xml:space="preserve">Ano</t>
  </si>
  <si>
    <t xml:space="preserve">Sem retenção</t>
  </si>
  <si>
    <t xml:space="preserve">TIR projeto</t>
  </si>
  <si>
    <t xml:space="preserve">TIR cooperados</t>
  </si>
  <si>
    <t xml:space="preserve">EBITDA regime</t>
  </si>
  <si>
    <t xml:space="preserve">BASE (250 t · sachê R$ 30 · granel R$ 18,55 · juros 10%)</t>
  </si>
  <si>
    <t xml:space="preserve">Mel −20% (venda e cooperado)  ← PISO BNB ≥ 1,50x</t>
  </si>
  <si>
    <t xml:space="preserve">Volume −20% (200 t)</t>
  </si>
  <si>
    <t xml:space="preserve">Preço −10% e volume −10%</t>
  </si>
  <si>
    <t xml:space="preserve">Juros FNE 12,45% a.a.</t>
  </si>
  <si>
    <t xml:space="preserve">Juros FNE 7,65% a.a.</t>
  </si>
  <si>
    <t xml:space="preserve">Sachê a R$ 25/kg (sem mexer no granel)</t>
  </si>
  <si>
    <t xml:space="preserve">Investimento +20% (R$ 4,60 mi)</t>
  </si>
  <si>
    <t xml:space="preserve">Leitura: a cobertura mínima ocorre no ano 5 (1ª amortização do FNE investimento). Piso adotado: ≥ 1,50x com mel −20% → 1,51x (margem 0,01x; sem retenção 1,27x — a retenção de 5% é estrutural). Ponto fraco: preço do sachê (R$ 25/kg → 1,29x) — exige cartas de intenção de compra antes do protocolo.</t>
  </si>
  <si>
    <t xml:space="preserve">Decisões: 30/09/2026 FNE investimento R$ 2,0 mi + giro R$ 0,6 mi; cooperado 65% do granel PAA/Conab-CE · 07/10/2026 (D1) obra R$ 1,79 mi → capital próprio R$ 1,83 mi.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</si>
</sst>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.00"/>
    <numFmt numFmtId="168" formatCode="#,##0.0"/>
    <numFmt numFmtId="169" formatCode="0%"/>
    <numFmt numFmtId="170" formatCode="0.00\x"/>
    <numFmt numFmtId="171" formatCode="0.00%"/>
    <numFmt numFmtId="172" formatCode="#,##0&quot; t&quot;"/>
    <numFmt numFmtId="173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0E1A"/>
      <name val="Georgia"/>
      <family val="0"/>
      <charset val="1"/>
    </font>
    <font>
      <sz val="11"/>
      <name val="Inter"/>
      <family val="0"/>
      <charset val="1"/>
    </font>
    <font>
      <b val="true"/>
      <sz val="11"/>
      <color rgb="FFFFFFFF"/>
      <name val="Georgia"/>
      <family val="0"/>
      <charset val="1"/>
    </font>
    <font>
      <sz val="11"/>
      <color rgb="FF0000CC"/>
      <name val="Inter"/>
      <family val="0"/>
      <charset val="1"/>
    </font>
    <font>
      <b val="true"/>
      <sz val="11"/>
      <name val="Inter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E1A"/>
        <bgColor rgb="FF000000"/>
      </patternFill>
    </fill>
    <fill>
      <patternFill patternType="solid">
        <fgColor rgb="FF004B1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A0E1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4B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5" customFormat="false" ht="15" hidden="false" customHeight="false" outlineLevel="0" collapsed="false">
      <c r="A5" s="4" t="s">
        <v>12</v>
      </c>
      <c r="B5" s="5"/>
      <c r="C5" s="5"/>
      <c r="D5" s="5"/>
    </row>
    <row r="6" customFormat="false" ht="15" hidden="false" customHeight="false" outlineLevel="0" collapsed="false">
      <c r="A6" s="2" t="s">
        <v>13</v>
      </c>
      <c r="B6" s="6" t="n">
        <v>1</v>
      </c>
      <c r="C6" s="2" t="s">
        <v>14</v>
      </c>
      <c r="D6" s="2" t="s">
        <v>15</v>
      </c>
    </row>
    <row r="7" customFormat="false" ht="15" hidden="false" customHeight="false" outlineLevel="0" collapsed="false">
      <c r="A7" s="2" t="s">
        <v>16</v>
      </c>
      <c r="B7" s="6" t="n">
        <v>1</v>
      </c>
      <c r="C7" s="2" t="s">
        <v>14</v>
      </c>
      <c r="D7" s="2" t="s">
        <v>17</v>
      </c>
    </row>
    <row r="8" customFormat="false" ht="15" hidden="false" customHeight="false" outlineLevel="0" collapsed="false">
      <c r="A8" s="2" t="s">
        <v>18</v>
      </c>
      <c r="B8" s="6" t="n">
        <v>1</v>
      </c>
      <c r="C8" s="2" t="s">
        <v>14</v>
      </c>
      <c r="D8" s="2" t="s">
        <v>17</v>
      </c>
    </row>
    <row r="10" customFormat="false" ht="15" hidden="false" customHeight="false" outlineLevel="0" collapsed="false">
      <c r="A10" s="4" t="s">
        <v>19</v>
      </c>
      <c r="B10" s="5"/>
      <c r="C10" s="5"/>
      <c r="D10" s="5"/>
    </row>
    <row r="11" customFormat="false" ht="15" hidden="false" customHeight="false" outlineLevel="0" collapsed="false">
      <c r="A11" s="2" t="s">
        <v>20</v>
      </c>
      <c r="B11" s="7" t="n">
        <v>1791560</v>
      </c>
      <c r="C11" s="2" t="s">
        <v>21</v>
      </c>
      <c r="D11" s="2" t="s">
        <v>22</v>
      </c>
    </row>
    <row r="12" customFormat="false" ht="15" hidden="false" customHeight="false" outlineLevel="0" collapsed="false">
      <c r="A12" s="2" t="s">
        <v>23</v>
      </c>
      <c r="B12" s="7" t="n">
        <v>1690000</v>
      </c>
      <c r="C12" s="2" t="s">
        <v>21</v>
      </c>
      <c r="D12" s="2" t="s">
        <v>24</v>
      </c>
    </row>
    <row r="13" customFormat="false" ht="15" hidden="false" customHeight="false" outlineLevel="0" collapsed="false">
      <c r="A13" s="2" t="s">
        <v>25</v>
      </c>
      <c r="B13" s="7" t="n">
        <v>350000</v>
      </c>
      <c r="C13" s="2" t="s">
        <v>21</v>
      </c>
      <c r="D13" s="2" t="s">
        <v>26</v>
      </c>
    </row>
    <row r="14" customFormat="false" ht="15" hidden="false" customHeight="false" outlineLevel="0" collapsed="false">
      <c r="A14" s="2" t="s">
        <v>27</v>
      </c>
      <c r="B14" s="8" t="n">
        <f aca="false">(Premissas!$B$11+Premissas!$B$12+Premissas!$B$13)*Premissas!$B$8</f>
        <v>3831560</v>
      </c>
      <c r="C14" s="2" t="s">
        <v>21</v>
      </c>
      <c r="D14" s="2" t="s">
        <v>28</v>
      </c>
    </row>
    <row r="15" customFormat="false" ht="15" hidden="false" customHeight="false" outlineLevel="0" collapsed="false">
      <c r="A15" s="2" t="s">
        <v>29</v>
      </c>
      <c r="B15" s="8" t="n">
        <f aca="false">MIN(2000000,Premissas!$B$14*0.8)</f>
        <v>2000000</v>
      </c>
      <c r="C15" s="2" t="s">
        <v>21</v>
      </c>
      <c r="D15" s="2" t="s">
        <v>30</v>
      </c>
    </row>
    <row r="16" customFormat="false" ht="15" hidden="false" customHeight="false" outlineLevel="0" collapsed="false">
      <c r="A16" s="2" t="s">
        <v>31</v>
      </c>
      <c r="B16" s="9" t="n">
        <v>0.1</v>
      </c>
      <c r="C16" s="2" t="s">
        <v>32</v>
      </c>
      <c r="D16" s="2" t="s">
        <v>33</v>
      </c>
    </row>
    <row r="17" customFormat="false" ht="15" hidden="false" customHeight="false" outlineLevel="0" collapsed="false">
      <c r="A17" s="2" t="s">
        <v>34</v>
      </c>
      <c r="B17" s="6" t="n">
        <v>12</v>
      </c>
      <c r="C17" s="2" t="s">
        <v>35</v>
      </c>
      <c r="D17" s="2" t="s">
        <v>36</v>
      </c>
    </row>
    <row r="18" customFormat="false" ht="15" hidden="false" customHeight="false" outlineLevel="0" collapsed="false">
      <c r="A18" s="2" t="s">
        <v>37</v>
      </c>
      <c r="B18" s="6" t="n">
        <v>4</v>
      </c>
      <c r="C18" s="2" t="s">
        <v>35</v>
      </c>
      <c r="D18" s="2" t="s">
        <v>38</v>
      </c>
    </row>
    <row r="19" customFormat="false" ht="15" hidden="false" customHeight="false" outlineLevel="0" collapsed="false">
      <c r="A19" s="2" t="s">
        <v>39</v>
      </c>
      <c r="B19" s="6" t="n">
        <v>0.5</v>
      </c>
      <c r="C19" s="2" t="s">
        <v>40</v>
      </c>
      <c r="D19" s="2" t="s">
        <v>41</v>
      </c>
    </row>
    <row r="21" customFormat="false" ht="15" hidden="false" customHeight="false" outlineLevel="0" collapsed="false">
      <c r="A21" s="4" t="s">
        <v>42</v>
      </c>
      <c r="B21" s="5"/>
      <c r="C21" s="5"/>
      <c r="D21" s="5"/>
    </row>
    <row r="22" customFormat="false" ht="15" hidden="false" customHeight="false" outlineLevel="0" collapsed="false">
      <c r="A22" s="2" t="s">
        <v>43</v>
      </c>
      <c r="B22" s="6" t="n">
        <v>350</v>
      </c>
      <c r="C22" s="2" t="s">
        <v>44</v>
      </c>
      <c r="D22" s="2" t="s">
        <v>45</v>
      </c>
    </row>
    <row r="23" customFormat="false" ht="15" hidden="false" customHeight="false" outlineLevel="0" collapsed="false">
      <c r="A23" s="2" t="s">
        <v>46</v>
      </c>
      <c r="B23" s="6" t="n">
        <v>200</v>
      </c>
      <c r="C23" s="2" t="s">
        <v>47</v>
      </c>
      <c r="D23" s="2" t="s">
        <v>48</v>
      </c>
    </row>
    <row r="24" customFormat="false" ht="15" hidden="false" customHeight="false" outlineLevel="0" collapsed="false">
      <c r="A24" s="2" t="s">
        <v>49</v>
      </c>
      <c r="B24" s="6" t="n">
        <v>250</v>
      </c>
      <c r="C24" s="2" t="s">
        <v>47</v>
      </c>
      <c r="D24" s="2" t="s">
        <v>50</v>
      </c>
    </row>
    <row r="25" customFormat="false" ht="15" hidden="false" customHeight="false" outlineLevel="0" collapsed="false">
      <c r="A25" s="2" t="s">
        <v>51</v>
      </c>
      <c r="B25" s="6" t="n">
        <v>250</v>
      </c>
      <c r="C25" s="2" t="s">
        <v>47</v>
      </c>
      <c r="D25" s="2" t="s">
        <v>52</v>
      </c>
    </row>
    <row r="26" customFormat="false" ht="15" hidden="false" customHeight="false" outlineLevel="0" collapsed="false">
      <c r="A26" s="2" t="s">
        <v>53</v>
      </c>
      <c r="B26" s="9" t="n">
        <v>0.015</v>
      </c>
      <c r="C26" s="2" t="s">
        <v>54</v>
      </c>
      <c r="D26" s="2" t="s">
        <v>55</v>
      </c>
    </row>
    <row r="27" customFormat="false" ht="15" hidden="false" customHeight="false" outlineLevel="0" collapsed="false">
      <c r="A27" s="2" t="s">
        <v>56</v>
      </c>
      <c r="B27" s="9" t="n">
        <v>0.6</v>
      </c>
      <c r="C27" s="2" t="s">
        <v>54</v>
      </c>
      <c r="D27" s="2" t="s">
        <v>57</v>
      </c>
    </row>
    <row r="29" customFormat="false" ht="15" hidden="false" customHeight="false" outlineLevel="0" collapsed="false">
      <c r="A29" s="4" t="s">
        <v>58</v>
      </c>
      <c r="B29" s="5"/>
      <c r="C29" s="5"/>
      <c r="D29" s="5"/>
    </row>
    <row r="30" customFormat="false" ht="15" hidden="false" customHeight="false" outlineLevel="0" collapsed="false">
      <c r="A30" s="2" t="s">
        <v>59</v>
      </c>
      <c r="B30" s="10" t="n">
        <v>30</v>
      </c>
      <c r="C30" s="2" t="s">
        <v>60</v>
      </c>
      <c r="D30" s="2" t="s">
        <v>61</v>
      </c>
    </row>
    <row r="31" customFormat="false" ht="15" hidden="false" customHeight="false" outlineLevel="0" collapsed="false">
      <c r="A31" s="2" t="s">
        <v>62</v>
      </c>
      <c r="B31" s="10" t="n">
        <v>18.55</v>
      </c>
      <c r="C31" s="2" t="s">
        <v>60</v>
      </c>
      <c r="D31" s="2" t="s">
        <v>63</v>
      </c>
    </row>
    <row r="32" customFormat="false" ht="15" hidden="false" customHeight="false" outlineLevel="0" collapsed="false">
      <c r="A32" s="2" t="s">
        <v>64</v>
      </c>
      <c r="B32" s="9" t="n">
        <v>0.65</v>
      </c>
      <c r="C32" s="2" t="s">
        <v>54</v>
      </c>
      <c r="D32" s="2" t="s">
        <v>65</v>
      </c>
    </row>
    <row r="33" customFormat="false" ht="15" hidden="false" customHeight="false" outlineLevel="0" collapsed="false">
      <c r="A33" s="2" t="s">
        <v>66</v>
      </c>
      <c r="B33" s="11" t="n">
        <f aca="false">Premissas!$B$32*Premissas!$B$31*Premissas!$B$6</f>
        <v>12.0575</v>
      </c>
      <c r="C33" s="2" t="s">
        <v>60</v>
      </c>
      <c r="D33" s="2" t="s">
        <v>67</v>
      </c>
    </row>
    <row r="34" customFormat="false" ht="15" hidden="false" customHeight="false" outlineLevel="0" collapsed="false">
      <c r="A34" s="2" t="s">
        <v>68</v>
      </c>
      <c r="B34" s="9" t="n">
        <v>0.5</v>
      </c>
      <c r="C34" s="2" t="s">
        <v>54</v>
      </c>
      <c r="D34" s="2" t="s">
        <v>69</v>
      </c>
    </row>
    <row r="35" customFormat="false" ht="15" hidden="false" customHeight="false" outlineLevel="0" collapsed="false">
      <c r="A35" s="2" t="s">
        <v>70</v>
      </c>
      <c r="B35" s="9" t="n">
        <v>0.2</v>
      </c>
      <c r="C35" s="2" t="s">
        <v>54</v>
      </c>
      <c r="D35" s="2" t="s">
        <v>71</v>
      </c>
    </row>
    <row r="36" customFormat="false" ht="15" hidden="false" customHeight="false" outlineLevel="0" collapsed="false">
      <c r="A36" s="2" t="s">
        <v>72</v>
      </c>
      <c r="B36" s="9" t="n">
        <v>0.05</v>
      </c>
      <c r="C36" s="2" t="s">
        <v>54</v>
      </c>
      <c r="D36" s="2" t="s">
        <v>73</v>
      </c>
    </row>
    <row r="37" customFormat="false" ht="15" hidden="false" customHeight="false" outlineLevel="0" collapsed="false">
      <c r="A37" s="2" t="s">
        <v>74</v>
      </c>
      <c r="B37" s="10" t="n">
        <v>12</v>
      </c>
      <c r="C37" s="2" t="s">
        <v>60</v>
      </c>
      <c r="D37" s="2" t="s">
        <v>75</v>
      </c>
    </row>
    <row r="39" customFormat="false" ht="15" hidden="false" customHeight="false" outlineLevel="0" collapsed="false">
      <c r="A39" s="4" t="s">
        <v>76</v>
      </c>
      <c r="B39" s="5"/>
      <c r="C39" s="5"/>
      <c r="D39" s="5"/>
    </row>
    <row r="40" customFormat="false" ht="15" hidden="false" customHeight="false" outlineLevel="0" collapsed="false">
      <c r="A40" s="2" t="s">
        <v>77</v>
      </c>
      <c r="B40" s="10" t="n">
        <v>1.3</v>
      </c>
      <c r="C40" s="2" t="s">
        <v>60</v>
      </c>
      <c r="D40" s="2" t="s">
        <v>78</v>
      </c>
    </row>
    <row r="41" customFormat="false" ht="15" hidden="false" customHeight="false" outlineLevel="0" collapsed="false">
      <c r="A41" s="2" t="s">
        <v>79</v>
      </c>
      <c r="B41" s="10" t="n">
        <v>1.2</v>
      </c>
      <c r="C41" s="2" t="s">
        <v>60</v>
      </c>
      <c r="D41" s="2" t="s">
        <v>80</v>
      </c>
    </row>
    <row r="42" customFormat="false" ht="15" hidden="false" customHeight="false" outlineLevel="0" collapsed="false">
      <c r="A42" s="2" t="s">
        <v>81</v>
      </c>
      <c r="B42" s="9" t="n">
        <v>0.05</v>
      </c>
      <c r="C42" s="2" t="s">
        <v>82</v>
      </c>
      <c r="D42" s="2" t="s">
        <v>83</v>
      </c>
    </row>
    <row r="43" customFormat="false" ht="15" hidden="false" customHeight="false" outlineLevel="0" collapsed="false">
      <c r="A43" s="2" t="s">
        <v>84</v>
      </c>
      <c r="B43" s="10" t="n">
        <v>0.25</v>
      </c>
      <c r="C43" s="2" t="s">
        <v>60</v>
      </c>
      <c r="D43" s="2" t="s">
        <v>80</v>
      </c>
    </row>
    <row r="44" customFormat="false" ht="15" hidden="false" customHeight="false" outlineLevel="0" collapsed="false">
      <c r="A44" s="2" t="s">
        <v>85</v>
      </c>
      <c r="B44" s="9" t="n">
        <v>0.03</v>
      </c>
      <c r="C44" s="2" t="s">
        <v>82</v>
      </c>
      <c r="D44" s="2" t="s">
        <v>80</v>
      </c>
    </row>
    <row r="45" customFormat="false" ht="15" hidden="false" customHeight="false" outlineLevel="0" collapsed="false">
      <c r="A45" s="2" t="s">
        <v>86</v>
      </c>
      <c r="B45" s="9" t="n">
        <v>0.02</v>
      </c>
      <c r="C45" s="2" t="s">
        <v>82</v>
      </c>
      <c r="D45" s="2" t="s">
        <v>87</v>
      </c>
    </row>
    <row r="46" customFormat="false" ht="15" hidden="false" customHeight="false" outlineLevel="0" collapsed="false">
      <c r="A46" s="2" t="s">
        <v>88</v>
      </c>
      <c r="B46" s="10" t="n">
        <v>0.1</v>
      </c>
      <c r="C46" s="2" t="s">
        <v>60</v>
      </c>
      <c r="D46" s="2" t="s">
        <v>80</v>
      </c>
    </row>
    <row r="47" customFormat="false" ht="15" hidden="false" customHeight="false" outlineLevel="0" collapsed="false">
      <c r="A47" s="2" t="s">
        <v>89</v>
      </c>
      <c r="B47" s="9" t="n">
        <v>0.07</v>
      </c>
      <c r="C47" s="2" t="s">
        <v>90</v>
      </c>
      <c r="D47" s="2" t="s">
        <v>91</v>
      </c>
    </row>
    <row r="49" customFormat="false" ht="15" hidden="false" customHeight="false" outlineLevel="0" collapsed="false">
      <c r="A49" s="4" t="s">
        <v>92</v>
      </c>
      <c r="B49" s="5"/>
      <c r="C49" s="5"/>
      <c r="D49" s="5"/>
    </row>
    <row r="50" customFormat="false" ht="15" hidden="false" customHeight="false" outlineLevel="0" collapsed="false">
      <c r="A50" s="2" t="s">
        <v>93</v>
      </c>
      <c r="B50" s="8" t="n">
        <f aca="false">Pessoal!F14</f>
        <v>507794.356</v>
      </c>
      <c r="C50" s="2" t="s">
        <v>94</v>
      </c>
      <c r="D50" s="2" t="s">
        <v>95</v>
      </c>
    </row>
    <row r="51" customFormat="false" ht="15" hidden="false" customHeight="false" outlineLevel="0" collapsed="false">
      <c r="A51" s="2" t="s">
        <v>96</v>
      </c>
      <c r="B51" s="7" t="n">
        <v>60000</v>
      </c>
      <c r="C51" s="2" t="s">
        <v>94</v>
      </c>
      <c r="D51" s="2" t="s">
        <v>97</v>
      </c>
    </row>
    <row r="52" customFormat="false" ht="15" hidden="false" customHeight="false" outlineLevel="0" collapsed="false">
      <c r="A52" s="2" t="s">
        <v>98</v>
      </c>
      <c r="B52" s="7" t="n">
        <v>40000</v>
      </c>
      <c r="C52" s="2" t="s">
        <v>94</v>
      </c>
      <c r="D52" s="2" t="s">
        <v>99</v>
      </c>
    </row>
    <row r="53" customFormat="false" ht="15" hidden="false" customHeight="false" outlineLevel="0" collapsed="false">
      <c r="A53" s="2" t="s">
        <v>100</v>
      </c>
      <c r="B53" s="7" t="n">
        <v>150000</v>
      </c>
      <c r="C53" s="2" t="s">
        <v>94</v>
      </c>
      <c r="D53" s="2" t="s">
        <v>80</v>
      </c>
    </row>
    <row r="54" customFormat="false" ht="15" hidden="false" customHeight="false" outlineLevel="0" collapsed="false">
      <c r="A54" s="2" t="s">
        <v>101</v>
      </c>
      <c r="B54" s="7" t="n">
        <v>48000</v>
      </c>
      <c r="C54" s="2" t="s">
        <v>94</v>
      </c>
      <c r="D54" s="2" t="s">
        <v>80</v>
      </c>
    </row>
    <row r="55" customFormat="false" ht="15" hidden="false" customHeight="false" outlineLevel="0" collapsed="false">
      <c r="A55" s="2" t="s">
        <v>102</v>
      </c>
      <c r="B55" s="9" t="n">
        <v>0.01</v>
      </c>
      <c r="C55" s="2" t="s">
        <v>32</v>
      </c>
      <c r="D55" s="2" t="s">
        <v>80</v>
      </c>
    </row>
    <row r="56" customFormat="false" ht="15" hidden="false" customHeight="false" outlineLevel="0" collapsed="false">
      <c r="A56" s="2" t="s">
        <v>103</v>
      </c>
      <c r="B56" s="9" t="n">
        <v>0.025</v>
      </c>
      <c r="C56" s="2" t="s">
        <v>32</v>
      </c>
      <c r="D56" s="2" t="s">
        <v>80</v>
      </c>
    </row>
    <row r="57" customFormat="false" ht="15" hidden="false" customHeight="false" outlineLevel="0" collapsed="false">
      <c r="A57" s="2" t="s">
        <v>104</v>
      </c>
      <c r="B57" s="9" t="n">
        <v>0.004</v>
      </c>
      <c r="C57" s="2" t="s">
        <v>105</v>
      </c>
      <c r="D57" s="2" t="s">
        <v>80</v>
      </c>
    </row>
    <row r="59" customFormat="false" ht="15" hidden="false" customHeight="false" outlineLevel="0" collapsed="false">
      <c r="A59" s="4" t="s">
        <v>106</v>
      </c>
      <c r="B59" s="5"/>
      <c r="C59" s="5"/>
      <c r="D59" s="5"/>
    </row>
    <row r="60" customFormat="false" ht="15" hidden="false" customHeight="false" outlineLevel="0" collapsed="false">
      <c r="A60" s="2" t="s">
        <v>107</v>
      </c>
      <c r="B60" s="7" t="n">
        <v>600000</v>
      </c>
      <c r="C60" s="2" t="s">
        <v>21</v>
      </c>
      <c r="D60" s="2" t="s">
        <v>108</v>
      </c>
    </row>
    <row r="61" customFormat="false" ht="15" hidden="false" customHeight="false" outlineLevel="0" collapsed="false">
      <c r="A61" s="2" t="s">
        <v>109</v>
      </c>
      <c r="B61" s="6" t="n">
        <v>25</v>
      </c>
      <c r="C61" s="2" t="s">
        <v>35</v>
      </c>
      <c r="D61" s="2" t="s">
        <v>110</v>
      </c>
    </row>
    <row r="62" customFormat="false" ht="15" hidden="false" customHeight="false" outlineLevel="0" collapsed="false">
      <c r="A62" s="2" t="s">
        <v>111</v>
      </c>
      <c r="B62" s="6" t="n">
        <v>10</v>
      </c>
      <c r="C62" s="2" t="s">
        <v>35</v>
      </c>
      <c r="D62" s="2" t="s">
        <v>110</v>
      </c>
    </row>
    <row r="63" customFormat="false" ht="15" hidden="false" customHeight="false" outlineLevel="0" collapsed="false">
      <c r="A63" s="2" t="s">
        <v>112</v>
      </c>
      <c r="B63" s="9" t="n">
        <v>0</v>
      </c>
      <c r="C63" s="2" t="s">
        <v>54</v>
      </c>
      <c r="D63" s="2" t="s">
        <v>113</v>
      </c>
    </row>
    <row r="64" customFormat="false" ht="15" hidden="false" customHeight="false" outlineLevel="0" collapsed="false">
      <c r="A64" s="2" t="s">
        <v>114</v>
      </c>
      <c r="B64" s="9" t="n">
        <v>0.1</v>
      </c>
      <c r="C64" s="2" t="s">
        <v>32</v>
      </c>
      <c r="D64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116</v>
      </c>
    </row>
    <row r="3" customFormat="false" ht="28.35" hidden="false" customHeight="false" outlineLevel="0" collapsed="false">
      <c r="A3" s="3" t="s">
        <v>117</v>
      </c>
      <c r="B3" s="3" t="s">
        <v>118</v>
      </c>
      <c r="C3" s="3" t="s">
        <v>119</v>
      </c>
      <c r="D3" s="3" t="s">
        <v>120</v>
      </c>
      <c r="E3" s="3" t="s">
        <v>121</v>
      </c>
      <c r="F3" s="3" t="s">
        <v>122</v>
      </c>
    </row>
    <row r="4" customFormat="false" ht="15" hidden="false" customHeight="false" outlineLevel="0" collapsed="false">
      <c r="A4" s="0" t="s">
        <v>123</v>
      </c>
      <c r="B4" s="0" t="s">
        <v>124</v>
      </c>
      <c r="C4" s="6" t="n">
        <v>1</v>
      </c>
      <c r="D4" s="6" t="n">
        <v>5500</v>
      </c>
      <c r="E4" s="12" t="s">
        <v>125</v>
      </c>
      <c r="F4" s="13" t="n">
        <f aca="false">C4*(D4*13.33*(1+0.358)+400*12)</f>
        <v>104361.77</v>
      </c>
    </row>
    <row r="5" customFormat="false" ht="15" hidden="false" customHeight="false" outlineLevel="0" collapsed="false">
      <c r="A5" s="0" t="s">
        <v>123</v>
      </c>
      <c r="B5" s="0" t="s">
        <v>126</v>
      </c>
      <c r="C5" s="6" t="n">
        <v>1</v>
      </c>
      <c r="D5" s="6" t="n">
        <v>2800</v>
      </c>
      <c r="E5" s="12" t="s">
        <v>125</v>
      </c>
      <c r="F5" s="13" t="n">
        <f aca="false">C5*(D5*13.33*(1+0.358)+400*12)</f>
        <v>55485.992</v>
      </c>
    </row>
    <row r="6" customFormat="false" ht="15" hidden="false" customHeight="false" outlineLevel="0" collapsed="false">
      <c r="A6" s="0" t="s">
        <v>127</v>
      </c>
      <c r="B6" s="0" t="s">
        <v>128</v>
      </c>
      <c r="C6" s="6" t="n">
        <v>1</v>
      </c>
      <c r="D6" s="6" t="n">
        <v>2800</v>
      </c>
      <c r="E6" s="12" t="s">
        <v>125</v>
      </c>
      <c r="F6" s="13" t="n">
        <f aca="false">C6*(D6*13.33*(1+0.358)+400*12)</f>
        <v>55485.992</v>
      </c>
    </row>
    <row r="7" customFormat="false" ht="15" hidden="false" customHeight="false" outlineLevel="0" collapsed="false">
      <c r="A7" s="0" t="s">
        <v>129</v>
      </c>
      <c r="B7" s="0" t="s">
        <v>130</v>
      </c>
      <c r="C7" s="6" t="n">
        <v>2</v>
      </c>
      <c r="D7" s="6" t="n">
        <v>1900</v>
      </c>
      <c r="E7" s="12" t="s">
        <v>125</v>
      </c>
      <c r="F7" s="13" t="n">
        <f aca="false">C7*(D7*13.33*(1+0.358)+400*12)</f>
        <v>78388.132</v>
      </c>
    </row>
    <row r="8" customFormat="false" ht="15" hidden="false" customHeight="false" outlineLevel="0" collapsed="false">
      <c r="A8" s="0" t="s">
        <v>129</v>
      </c>
      <c r="B8" s="0" t="s">
        <v>131</v>
      </c>
      <c r="C8" s="6" t="n">
        <v>2</v>
      </c>
      <c r="D8" s="6" t="n">
        <v>1800</v>
      </c>
      <c r="E8" s="12" t="s">
        <v>125</v>
      </c>
      <c r="F8" s="13" t="n">
        <f aca="false">C8*(D8*13.33*(1+0.358)+400*12)</f>
        <v>74767.704</v>
      </c>
    </row>
    <row r="9" customFormat="false" ht="15" hidden="false" customHeight="false" outlineLevel="0" collapsed="false">
      <c r="A9" s="0" t="s">
        <v>129</v>
      </c>
      <c r="B9" s="0" t="s">
        <v>132</v>
      </c>
      <c r="C9" s="6" t="n">
        <v>1</v>
      </c>
      <c r="D9" s="6" t="n">
        <v>1700</v>
      </c>
      <c r="E9" s="12" t="s">
        <v>125</v>
      </c>
      <c r="F9" s="13" t="n">
        <f aca="false">C9*(D9*13.33*(1+0.358)+400*12)</f>
        <v>35573.638</v>
      </c>
    </row>
    <row r="10" customFormat="false" ht="15" hidden="false" customHeight="false" outlineLevel="0" collapsed="false">
      <c r="A10" s="0" t="s">
        <v>133</v>
      </c>
      <c r="B10" s="0" t="s">
        <v>134</v>
      </c>
      <c r="C10" s="6" t="n">
        <v>1</v>
      </c>
      <c r="D10" s="6" t="n">
        <v>2200</v>
      </c>
      <c r="E10" s="12" t="s">
        <v>125</v>
      </c>
      <c r="F10" s="13" t="n">
        <f aca="false">C10*(D10*13.33*(1+0.358)+400*12)</f>
        <v>44624.708</v>
      </c>
    </row>
    <row r="11" customFormat="false" ht="15" hidden="false" customHeight="false" outlineLevel="0" collapsed="false">
      <c r="A11" s="0" t="s">
        <v>135</v>
      </c>
      <c r="B11" s="0" t="s">
        <v>136</v>
      </c>
      <c r="C11" s="6" t="n">
        <v>1</v>
      </c>
      <c r="D11" s="6" t="n">
        <v>3000</v>
      </c>
      <c r="E11" s="12" t="s">
        <v>125</v>
      </c>
      <c r="F11" s="13" t="n">
        <f aca="false">C11*(D11*13.33*(1+0.358)+400*12)</f>
        <v>59106.42</v>
      </c>
    </row>
    <row r="14" customFormat="false" ht="15" hidden="false" customHeight="false" outlineLevel="0" collapsed="false">
      <c r="B14" s="14" t="s">
        <v>137</v>
      </c>
      <c r="C14" s="12" t="n">
        <f aca="false">SUM(C4:C11)</f>
        <v>10</v>
      </c>
      <c r="F14" s="15" t="n">
        <f aca="false">SUM(F4:F11)</f>
        <v>507794.356</v>
      </c>
    </row>
    <row r="16" customFormat="false" ht="15" hidden="false" customHeight="false" outlineLevel="0" collapsed="false">
      <c r="A16" s="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139</v>
      </c>
    </row>
    <row r="3" customFormat="false" ht="15" hidden="false" customHeight="false" outlineLevel="0" collapsed="false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144</v>
      </c>
      <c r="F3" s="3" t="s">
        <v>145</v>
      </c>
      <c r="G3" s="3" t="s">
        <v>146</v>
      </c>
      <c r="H3" s="3" t="s">
        <v>147</v>
      </c>
      <c r="I3" s="3" t="s">
        <v>148</v>
      </c>
      <c r="J3" s="3" t="s">
        <v>149</v>
      </c>
      <c r="K3" s="3" t="s">
        <v>150</v>
      </c>
      <c r="L3" s="3" t="s">
        <v>151</v>
      </c>
      <c r="M3" s="3" t="s">
        <v>152</v>
      </c>
      <c r="N3" s="3" t="s">
        <v>153</v>
      </c>
    </row>
    <row r="4" customFormat="false" ht="15" hidden="false" customHeight="false" outlineLevel="0" collapsed="false">
      <c r="A4" s="2" t="s">
        <v>154</v>
      </c>
      <c r="B4" s="16" t="n">
        <v>0</v>
      </c>
      <c r="C4" s="16" t="n">
        <f aca="false">IF(1=1,Premissas!$B$23,IF(1=2,Premissas!$B$24,Premissas!$B$25))*Premissas!$B$7</f>
        <v>200</v>
      </c>
      <c r="D4" s="16" t="n">
        <f aca="false">IF(2=1,Premissas!$B$23,IF(2=2,Premissas!$B$24,Premissas!$B$25))*Premissas!$B$7</f>
        <v>250</v>
      </c>
      <c r="E4" s="16" t="n">
        <f aca="false">IF(3=1,Premissas!$B$23,IF(3=2,Premissas!$B$24,Premissas!$B$25))*Premissas!$B$7</f>
        <v>250</v>
      </c>
      <c r="F4" s="16" t="n">
        <f aca="false">IF(4=1,Premissas!$B$23,IF(4=2,Premissas!$B$24,Premissas!$B$25))*Premissas!$B$7</f>
        <v>250</v>
      </c>
      <c r="G4" s="16" t="n">
        <f aca="false">IF(5=1,Premissas!$B$23,IF(5=2,Premissas!$B$24,Premissas!$B$25))*Premissas!$B$7</f>
        <v>250</v>
      </c>
      <c r="H4" s="16" t="n">
        <f aca="false">IF(6=1,Premissas!$B$23,IF(6=2,Premissas!$B$24,Premissas!$B$25))*Premissas!$B$7</f>
        <v>250</v>
      </c>
      <c r="I4" s="16" t="n">
        <f aca="false">IF(7=1,Premissas!$B$23,IF(7=2,Premissas!$B$24,Premissas!$B$25))*Premissas!$B$7</f>
        <v>250</v>
      </c>
      <c r="J4" s="16" t="n">
        <f aca="false">IF(8=1,Premissas!$B$23,IF(8=2,Premissas!$B$24,Premissas!$B$25))*Premissas!$B$7</f>
        <v>250</v>
      </c>
      <c r="K4" s="16" t="n">
        <f aca="false">IF(9=1,Premissas!$B$23,IF(9=2,Premissas!$B$24,Premissas!$B$25))*Premissas!$B$7</f>
        <v>250</v>
      </c>
      <c r="L4" s="16" t="n">
        <f aca="false">IF(10=1,Premissas!$B$23,IF(10=2,Premissas!$B$24,Premissas!$B$25))*Premissas!$B$7</f>
        <v>250</v>
      </c>
      <c r="M4" s="16" t="n">
        <f aca="false">IF(11=1,Premissas!$B$23,IF(11=2,Premissas!$B$24,Premissas!$B$25))*Premissas!$B$7</f>
        <v>250</v>
      </c>
      <c r="N4" s="16" t="n">
        <f aca="false">IF(12=1,Premissas!$B$23,IF(12=2,Premissas!$B$24,Premissas!$B$25))*Premissas!$B$7</f>
        <v>250</v>
      </c>
    </row>
    <row r="5" customFormat="false" ht="15" hidden="false" customHeight="false" outlineLevel="0" collapsed="false">
      <c r="A5" s="2" t="s">
        <v>155</v>
      </c>
      <c r="B5" s="17" t="n">
        <v>0</v>
      </c>
      <c r="C5" s="17" t="n">
        <f aca="false">C4/Premissas!$B$22</f>
        <v>0.571428571428571</v>
      </c>
      <c r="D5" s="17" t="n">
        <f aca="false">D4/Premissas!$B$22</f>
        <v>0.714285714285714</v>
      </c>
      <c r="E5" s="17" t="n">
        <f aca="false">E4/Premissas!$B$22</f>
        <v>0.714285714285714</v>
      </c>
      <c r="F5" s="17" t="n">
        <f aca="false">F4/Premissas!$B$22</f>
        <v>0.714285714285714</v>
      </c>
      <c r="G5" s="17" t="n">
        <f aca="false">G4/Premissas!$B$22</f>
        <v>0.714285714285714</v>
      </c>
      <c r="H5" s="17" t="n">
        <f aca="false">H4/Premissas!$B$22</f>
        <v>0.714285714285714</v>
      </c>
      <c r="I5" s="17" t="n">
        <f aca="false">I4/Premissas!$B$22</f>
        <v>0.714285714285714</v>
      </c>
      <c r="J5" s="17" t="n">
        <f aca="false">J4/Premissas!$B$22</f>
        <v>0.714285714285714</v>
      </c>
      <c r="K5" s="17" t="n">
        <f aca="false">K4/Premissas!$B$22</f>
        <v>0.714285714285714</v>
      </c>
      <c r="L5" s="17" t="n">
        <f aca="false">L4/Premissas!$B$22</f>
        <v>0.714285714285714</v>
      </c>
      <c r="M5" s="17" t="n">
        <f aca="false">M4/Premissas!$B$22</f>
        <v>0.714285714285714</v>
      </c>
      <c r="N5" s="17" t="n">
        <f aca="false">N4/Premissas!$B$22</f>
        <v>0.714285714285714</v>
      </c>
    </row>
    <row r="6" customFormat="false" ht="15" hidden="false" customHeight="false" outlineLevel="0" collapsed="false">
      <c r="A6" s="2" t="s">
        <v>156</v>
      </c>
      <c r="B6" s="16" t="n">
        <f aca="false">B4*(1-Premissas!$B$26)</f>
        <v>0</v>
      </c>
      <c r="C6" s="16" t="n">
        <f aca="false">C4*(1-Premissas!$B$26)</f>
        <v>197</v>
      </c>
      <c r="D6" s="16" t="n">
        <f aca="false">D4*(1-Premissas!$B$26)</f>
        <v>246.25</v>
      </c>
      <c r="E6" s="16" t="n">
        <f aca="false">E4*(1-Premissas!$B$26)</f>
        <v>246.25</v>
      </c>
      <c r="F6" s="16" t="n">
        <f aca="false">F4*(1-Premissas!$B$26)</f>
        <v>246.25</v>
      </c>
      <c r="G6" s="16" t="n">
        <f aca="false">G4*(1-Premissas!$B$26)</f>
        <v>246.25</v>
      </c>
      <c r="H6" s="16" t="n">
        <f aca="false">H4*(1-Premissas!$B$26)</f>
        <v>246.25</v>
      </c>
      <c r="I6" s="16" t="n">
        <f aca="false">I4*(1-Premissas!$B$26)</f>
        <v>246.25</v>
      </c>
      <c r="J6" s="16" t="n">
        <f aca="false">J4*(1-Premissas!$B$26)</f>
        <v>246.25</v>
      </c>
      <c r="K6" s="16" t="n">
        <f aca="false">K4*(1-Premissas!$B$26)</f>
        <v>246.25</v>
      </c>
      <c r="L6" s="16" t="n">
        <f aca="false">L4*(1-Premissas!$B$26)</f>
        <v>246.25</v>
      </c>
      <c r="M6" s="16" t="n">
        <f aca="false">M4*(1-Premissas!$B$26)</f>
        <v>246.25</v>
      </c>
      <c r="N6" s="16" t="n">
        <f aca="false">N4*(1-Premissas!$B$26)</f>
        <v>246.25</v>
      </c>
    </row>
    <row r="7" customFormat="false" ht="15" hidden="false" customHeight="false" outlineLevel="0" collapsed="false">
      <c r="A7" s="2" t="s">
        <v>157</v>
      </c>
      <c r="B7" s="16" t="n">
        <f aca="false">B6*Premissas!$B$27</f>
        <v>0</v>
      </c>
      <c r="C7" s="16" t="n">
        <f aca="false">C6*Premissas!$B$27</f>
        <v>118.2</v>
      </c>
      <c r="D7" s="16" t="n">
        <f aca="false">D6*Premissas!$B$27</f>
        <v>147.75</v>
      </c>
      <c r="E7" s="16" t="n">
        <f aca="false">E6*Premissas!$B$27</f>
        <v>147.75</v>
      </c>
      <c r="F7" s="16" t="n">
        <f aca="false">F6*Premissas!$B$27</f>
        <v>147.75</v>
      </c>
      <c r="G7" s="16" t="n">
        <f aca="false">G6*Premissas!$B$27</f>
        <v>147.75</v>
      </c>
      <c r="H7" s="16" t="n">
        <f aca="false">H6*Premissas!$B$27</f>
        <v>147.75</v>
      </c>
      <c r="I7" s="16" t="n">
        <f aca="false">I6*Premissas!$B$27</f>
        <v>147.75</v>
      </c>
      <c r="J7" s="16" t="n">
        <f aca="false">J6*Premissas!$B$27</f>
        <v>147.75</v>
      </c>
      <c r="K7" s="16" t="n">
        <f aca="false">K6*Premissas!$B$27</f>
        <v>147.75</v>
      </c>
      <c r="L7" s="16" t="n">
        <f aca="false">L6*Premissas!$B$27</f>
        <v>147.75</v>
      </c>
      <c r="M7" s="16" t="n">
        <f aca="false">M6*Premissas!$B$27</f>
        <v>147.75</v>
      </c>
      <c r="N7" s="16" t="n">
        <f aca="false">N6*Premissas!$B$27</f>
        <v>147.75</v>
      </c>
    </row>
    <row r="8" customFormat="false" ht="15" hidden="false" customHeight="false" outlineLevel="0" collapsed="false">
      <c r="A8" s="2" t="s">
        <v>158</v>
      </c>
      <c r="B8" s="16" t="n">
        <f aca="false">B6*(1-Premissas!$B$27)</f>
        <v>0</v>
      </c>
      <c r="C8" s="16" t="n">
        <f aca="false">C6*(1-Premissas!$B$27)</f>
        <v>78.8</v>
      </c>
      <c r="D8" s="16" t="n">
        <f aca="false">D6*(1-Premissas!$B$27)</f>
        <v>98.5</v>
      </c>
      <c r="E8" s="16" t="n">
        <f aca="false">E6*(1-Premissas!$B$27)</f>
        <v>98.5</v>
      </c>
      <c r="F8" s="16" t="n">
        <f aca="false">F6*(1-Premissas!$B$27)</f>
        <v>98.5</v>
      </c>
      <c r="G8" s="16" t="n">
        <f aca="false">G6*(1-Premissas!$B$27)</f>
        <v>98.5</v>
      </c>
      <c r="H8" s="16" t="n">
        <f aca="false">H6*(1-Premissas!$B$27)</f>
        <v>98.5</v>
      </c>
      <c r="I8" s="16" t="n">
        <f aca="false">I6*(1-Premissas!$B$27)</f>
        <v>98.5</v>
      </c>
      <c r="J8" s="16" t="n">
        <f aca="false">J6*(1-Premissas!$B$27)</f>
        <v>98.5</v>
      </c>
      <c r="K8" s="16" t="n">
        <f aca="false">K6*(1-Premissas!$B$27)</f>
        <v>98.5</v>
      </c>
      <c r="L8" s="16" t="n">
        <f aca="false">L6*(1-Premissas!$B$27)</f>
        <v>98.5</v>
      </c>
      <c r="M8" s="16" t="n">
        <f aca="false">M6*(1-Premissas!$B$27)</f>
        <v>98.5</v>
      </c>
      <c r="N8" s="16" t="n">
        <f aca="false">N6*(1-Premissas!$B$27)</f>
        <v>98.5</v>
      </c>
    </row>
    <row r="10" customFormat="false" ht="15" hidden="false" customHeight="false" outlineLevel="0" collapsed="false">
      <c r="A10" s="2" t="s">
        <v>159</v>
      </c>
      <c r="B10" s="13" t="n">
        <f aca="false">B7*1000*Premissas!$B$30*Premissas!$B$6</f>
        <v>0</v>
      </c>
      <c r="C10" s="13" t="n">
        <f aca="false">C7*1000*Premissas!$B$30*Premissas!$B$6</f>
        <v>3546000</v>
      </c>
      <c r="D10" s="13" t="n">
        <f aca="false">D7*1000*Premissas!$B$30*Premissas!$B$6</f>
        <v>4432500</v>
      </c>
      <c r="E10" s="13" t="n">
        <f aca="false">E7*1000*Premissas!$B$30*Premissas!$B$6</f>
        <v>4432500</v>
      </c>
      <c r="F10" s="13" t="n">
        <f aca="false">F7*1000*Premissas!$B$30*Premissas!$B$6</f>
        <v>4432500</v>
      </c>
      <c r="G10" s="13" t="n">
        <f aca="false">G7*1000*Premissas!$B$30*Premissas!$B$6</f>
        <v>4432500</v>
      </c>
      <c r="H10" s="13" t="n">
        <f aca="false">H7*1000*Premissas!$B$30*Premissas!$B$6</f>
        <v>4432500</v>
      </c>
      <c r="I10" s="13" t="n">
        <f aca="false">I7*1000*Premissas!$B$30*Premissas!$B$6</f>
        <v>4432500</v>
      </c>
      <c r="J10" s="13" t="n">
        <f aca="false">J7*1000*Premissas!$B$30*Premissas!$B$6</f>
        <v>4432500</v>
      </c>
      <c r="K10" s="13" t="n">
        <f aca="false">K7*1000*Premissas!$B$30*Premissas!$B$6</f>
        <v>4432500</v>
      </c>
      <c r="L10" s="13" t="n">
        <f aca="false">L7*1000*Premissas!$B$30*Premissas!$B$6</f>
        <v>4432500</v>
      </c>
      <c r="M10" s="13" t="n">
        <f aca="false">M7*1000*Premissas!$B$30*Premissas!$B$6</f>
        <v>4432500</v>
      </c>
      <c r="N10" s="13" t="n">
        <f aca="false">N7*1000*Premissas!$B$30*Premissas!$B$6</f>
        <v>4432500</v>
      </c>
    </row>
    <row r="11" customFormat="false" ht="15" hidden="false" customHeight="false" outlineLevel="0" collapsed="false">
      <c r="A11" s="2" t="s">
        <v>160</v>
      </c>
      <c r="B11" s="13" t="n">
        <f aca="false">B8*1000*Premissas!$B$31*Premissas!$B$6</f>
        <v>0</v>
      </c>
      <c r="C11" s="13" t="n">
        <f aca="false">C8*1000*Premissas!$B$31*Premissas!$B$6</f>
        <v>1461740</v>
      </c>
      <c r="D11" s="13" t="n">
        <f aca="false">D8*1000*Premissas!$B$31*Premissas!$B$6</f>
        <v>1827175</v>
      </c>
      <c r="E11" s="13" t="n">
        <f aca="false">E8*1000*Premissas!$B$31*Premissas!$B$6</f>
        <v>1827175</v>
      </c>
      <c r="F11" s="13" t="n">
        <f aca="false">F8*1000*Premissas!$B$31*Premissas!$B$6</f>
        <v>1827175</v>
      </c>
      <c r="G11" s="13" t="n">
        <f aca="false">G8*1000*Premissas!$B$31*Premissas!$B$6</f>
        <v>1827175</v>
      </c>
      <c r="H11" s="13" t="n">
        <f aca="false">H8*1000*Premissas!$B$31*Premissas!$B$6</f>
        <v>1827175</v>
      </c>
      <c r="I11" s="13" t="n">
        <f aca="false">I8*1000*Premissas!$B$31*Premissas!$B$6</f>
        <v>1827175</v>
      </c>
      <c r="J11" s="13" t="n">
        <f aca="false">J8*1000*Premissas!$B$31*Premissas!$B$6</f>
        <v>1827175</v>
      </c>
      <c r="K11" s="13" t="n">
        <f aca="false">K8*1000*Premissas!$B$31*Premissas!$B$6</f>
        <v>1827175</v>
      </c>
      <c r="L11" s="13" t="n">
        <f aca="false">L8*1000*Premissas!$B$31*Premissas!$B$6</f>
        <v>1827175</v>
      </c>
      <c r="M11" s="13" t="n">
        <f aca="false">M8*1000*Premissas!$B$31*Premissas!$B$6</f>
        <v>1827175</v>
      </c>
      <c r="N11" s="13" t="n">
        <f aca="false">N8*1000*Premissas!$B$31*Premissas!$B$6</f>
        <v>1827175</v>
      </c>
    </row>
    <row r="12" customFormat="false" ht="15" hidden="false" customHeight="false" outlineLevel="0" collapsed="false">
      <c r="A12" s="14" t="s">
        <v>161</v>
      </c>
      <c r="B12" s="15" t="n">
        <f aca="false">B10+B11</f>
        <v>0</v>
      </c>
      <c r="C12" s="15" t="n">
        <f aca="false">C10+C11</f>
        <v>5007740</v>
      </c>
      <c r="D12" s="15" t="n">
        <f aca="false">D10+D11</f>
        <v>6259675</v>
      </c>
      <c r="E12" s="15" t="n">
        <f aca="false">E10+E11</f>
        <v>6259675</v>
      </c>
      <c r="F12" s="15" t="n">
        <f aca="false">F10+F11</f>
        <v>6259675</v>
      </c>
      <c r="G12" s="15" t="n">
        <f aca="false">G10+G11</f>
        <v>6259675</v>
      </c>
      <c r="H12" s="15" t="n">
        <f aca="false">H10+H11</f>
        <v>6259675</v>
      </c>
      <c r="I12" s="15" t="n">
        <f aca="false">I10+I11</f>
        <v>6259675</v>
      </c>
      <c r="J12" s="15" t="n">
        <f aca="false">J10+J11</f>
        <v>6259675</v>
      </c>
      <c r="K12" s="15" t="n">
        <f aca="false">K10+K11</f>
        <v>6259675</v>
      </c>
      <c r="L12" s="15" t="n">
        <f aca="false">L10+L11</f>
        <v>6259675</v>
      </c>
      <c r="M12" s="15" t="n">
        <f aca="false">M10+M11</f>
        <v>6259675</v>
      </c>
      <c r="N12" s="15" t="n">
        <f aca="false">N10+N11</f>
        <v>6259675</v>
      </c>
    </row>
    <row r="13" customFormat="false" ht="15" hidden="false" customHeight="false" outlineLevel="0" collapsed="false">
      <c r="A13" s="2" t="s">
        <v>162</v>
      </c>
      <c r="B13" s="13" t="n">
        <f aca="false">-B12*Premissas!$B$47</f>
        <v>-0</v>
      </c>
      <c r="C13" s="13" t="n">
        <f aca="false">-C12*Premissas!$B$47</f>
        <v>-350541.8</v>
      </c>
      <c r="D13" s="13" t="n">
        <f aca="false">-D12*Premissas!$B$47</f>
        <v>-438177.25</v>
      </c>
      <c r="E13" s="13" t="n">
        <f aca="false">-E12*Premissas!$B$47</f>
        <v>-438177.25</v>
      </c>
      <c r="F13" s="13" t="n">
        <f aca="false">-F12*Premissas!$B$47</f>
        <v>-438177.25</v>
      </c>
      <c r="G13" s="13" t="n">
        <f aca="false">-G12*Premissas!$B$47</f>
        <v>-438177.25</v>
      </c>
      <c r="H13" s="13" t="n">
        <f aca="false">-H12*Premissas!$B$47</f>
        <v>-438177.25</v>
      </c>
      <c r="I13" s="13" t="n">
        <f aca="false">-I12*Premissas!$B$47</f>
        <v>-438177.25</v>
      </c>
      <c r="J13" s="13" t="n">
        <f aca="false">-J12*Premissas!$B$47</f>
        <v>-438177.25</v>
      </c>
      <c r="K13" s="13" t="n">
        <f aca="false">-K12*Premissas!$B$47</f>
        <v>-438177.25</v>
      </c>
      <c r="L13" s="13" t="n">
        <f aca="false">-L12*Premissas!$B$47</f>
        <v>-438177.25</v>
      </c>
      <c r="M13" s="13" t="n">
        <f aca="false">-M12*Premissas!$B$47</f>
        <v>-438177.25</v>
      </c>
      <c r="N13" s="13" t="n">
        <f aca="false">-N12*Premissas!$B$47</f>
        <v>-438177.25</v>
      </c>
    </row>
    <row r="15" customFormat="false" ht="15" hidden="false" customHeight="false" outlineLevel="0" collapsed="false">
      <c r="A15" s="2" t="s">
        <v>163</v>
      </c>
      <c r="B15" s="13" t="n">
        <f aca="false">-B4*1000*Premissas!$B$33</f>
        <v>-0</v>
      </c>
      <c r="C15" s="13" t="n">
        <f aca="false">-C4*1000*Premissas!$B$33</f>
        <v>-2411500</v>
      </c>
      <c r="D15" s="13" t="n">
        <f aca="false">-D4*1000*Premissas!$B$33</f>
        <v>-3014375</v>
      </c>
      <c r="E15" s="13" t="n">
        <f aca="false">-E4*1000*Premissas!$B$33</f>
        <v>-3014375</v>
      </c>
      <c r="F15" s="13" t="n">
        <f aca="false">-F4*1000*Premissas!$B$33</f>
        <v>-3014375</v>
      </c>
      <c r="G15" s="13" t="n">
        <f aca="false">-G4*1000*Premissas!$B$33</f>
        <v>-3014375</v>
      </c>
      <c r="H15" s="13" t="n">
        <f aca="false">-H4*1000*Premissas!$B$33</f>
        <v>-3014375</v>
      </c>
      <c r="I15" s="13" t="n">
        <f aca="false">-I4*1000*Premissas!$B$33</f>
        <v>-3014375</v>
      </c>
      <c r="J15" s="13" t="n">
        <f aca="false">-J4*1000*Premissas!$B$33</f>
        <v>-3014375</v>
      </c>
      <c r="K15" s="13" t="n">
        <f aca="false">-K4*1000*Premissas!$B$33</f>
        <v>-3014375</v>
      </c>
      <c r="L15" s="13" t="n">
        <f aca="false">-L4*1000*Premissas!$B$33</f>
        <v>-3014375</v>
      </c>
      <c r="M15" s="13" t="n">
        <f aca="false">-M4*1000*Premissas!$B$33</f>
        <v>-3014375</v>
      </c>
      <c r="N15" s="13" t="n">
        <f aca="false">-N4*1000*Premissas!$B$33</f>
        <v>-3014375</v>
      </c>
    </row>
    <row r="16" customFormat="false" ht="15" hidden="false" customHeight="false" outlineLevel="0" collapsed="false">
      <c r="A16" s="2" t="s">
        <v>164</v>
      </c>
      <c r="B16" s="13" t="n">
        <f aca="false">-(B7*1000*Premissas!$B$40+B8*1000*Premissas!$B$41)</f>
        <v>-0</v>
      </c>
      <c r="C16" s="13" t="n">
        <f aca="false">-(C7*1000*Premissas!$B$40+C8*1000*Premissas!$B$41)</f>
        <v>-248220</v>
      </c>
      <c r="D16" s="13" t="n">
        <f aca="false">-(D7*1000*Premissas!$B$40+D8*1000*Premissas!$B$41)</f>
        <v>-310275</v>
      </c>
      <c r="E16" s="13" t="n">
        <f aca="false">-(E7*1000*Premissas!$B$40+E8*1000*Premissas!$B$41)</f>
        <v>-310275</v>
      </c>
      <c r="F16" s="13" t="n">
        <f aca="false">-(F7*1000*Premissas!$B$40+F8*1000*Premissas!$B$41)</f>
        <v>-310275</v>
      </c>
      <c r="G16" s="13" t="n">
        <f aca="false">-(G7*1000*Premissas!$B$40+G8*1000*Premissas!$B$41)</f>
        <v>-310275</v>
      </c>
      <c r="H16" s="13" t="n">
        <f aca="false">-(H7*1000*Premissas!$B$40+H8*1000*Premissas!$B$41)</f>
        <v>-310275</v>
      </c>
      <c r="I16" s="13" t="n">
        <f aca="false">-(I7*1000*Premissas!$B$40+I8*1000*Premissas!$B$41)</f>
        <v>-310275</v>
      </c>
      <c r="J16" s="13" t="n">
        <f aca="false">-(J7*1000*Premissas!$B$40+J8*1000*Premissas!$B$41)</f>
        <v>-310275</v>
      </c>
      <c r="K16" s="13" t="n">
        <f aca="false">-(K7*1000*Premissas!$B$40+K8*1000*Premissas!$B$41)</f>
        <v>-310275</v>
      </c>
      <c r="L16" s="13" t="n">
        <f aca="false">-(L7*1000*Premissas!$B$40+L8*1000*Premissas!$B$41)</f>
        <v>-310275</v>
      </c>
      <c r="M16" s="13" t="n">
        <f aca="false">-(M7*1000*Premissas!$B$40+M8*1000*Premissas!$B$41)</f>
        <v>-310275</v>
      </c>
      <c r="N16" s="13" t="n">
        <f aca="false">-(N7*1000*Premissas!$B$40+N8*1000*Premissas!$B$41)</f>
        <v>-310275</v>
      </c>
    </row>
    <row r="17" customFormat="false" ht="15" hidden="false" customHeight="false" outlineLevel="0" collapsed="false">
      <c r="A17" s="2" t="s">
        <v>165</v>
      </c>
      <c r="B17" s="13" t="n">
        <f aca="false">-(B10*Premissas!$B$42+B8*1000*Premissas!$B$43)</f>
        <v>-0</v>
      </c>
      <c r="C17" s="13" t="n">
        <f aca="false">-(C10*Premissas!$B$42+C8*1000*Premissas!$B$43)</f>
        <v>-197000</v>
      </c>
      <c r="D17" s="13" t="n">
        <f aca="false">-(D10*Premissas!$B$42+D8*1000*Premissas!$B$43)</f>
        <v>-246250</v>
      </c>
      <c r="E17" s="13" t="n">
        <f aca="false">-(E10*Premissas!$B$42+E8*1000*Premissas!$B$43)</f>
        <v>-246250</v>
      </c>
      <c r="F17" s="13" t="n">
        <f aca="false">-(F10*Premissas!$B$42+F8*1000*Premissas!$B$43)</f>
        <v>-246250</v>
      </c>
      <c r="G17" s="13" t="n">
        <f aca="false">-(G10*Premissas!$B$42+G8*1000*Premissas!$B$43)</f>
        <v>-246250</v>
      </c>
      <c r="H17" s="13" t="n">
        <f aca="false">-(H10*Premissas!$B$42+H8*1000*Premissas!$B$43)</f>
        <v>-246250</v>
      </c>
      <c r="I17" s="13" t="n">
        <f aca="false">-(I10*Premissas!$B$42+I8*1000*Premissas!$B$43)</f>
        <v>-246250</v>
      </c>
      <c r="J17" s="13" t="n">
        <f aca="false">-(J10*Premissas!$B$42+J8*1000*Premissas!$B$43)</f>
        <v>-246250</v>
      </c>
      <c r="K17" s="13" t="n">
        <f aca="false">-(K10*Premissas!$B$42+K8*1000*Premissas!$B$43)</f>
        <v>-246250</v>
      </c>
      <c r="L17" s="13" t="n">
        <f aca="false">-(L10*Premissas!$B$42+L8*1000*Premissas!$B$43)</f>
        <v>-246250</v>
      </c>
      <c r="M17" s="13" t="n">
        <f aca="false">-(M10*Premissas!$B$42+M8*1000*Premissas!$B$43)</f>
        <v>-246250</v>
      </c>
      <c r="N17" s="13" t="n">
        <f aca="false">-(N10*Premissas!$B$42+N8*1000*Premissas!$B$43)</f>
        <v>-246250</v>
      </c>
    </row>
    <row r="18" customFormat="false" ht="15" hidden="false" customHeight="false" outlineLevel="0" collapsed="false">
      <c r="A18" s="2" t="s">
        <v>166</v>
      </c>
      <c r="B18" s="13" t="n">
        <f aca="false">-B10*(Premissas!$B$44+Premissas!$B$45)</f>
        <v>-0</v>
      </c>
      <c r="C18" s="13" t="n">
        <f aca="false">-C10*(Premissas!$B$44+Premissas!$B$45)</f>
        <v>-177300</v>
      </c>
      <c r="D18" s="13" t="n">
        <f aca="false">-D10*(Premissas!$B$44+Premissas!$B$45)</f>
        <v>-221625</v>
      </c>
      <c r="E18" s="13" t="n">
        <f aca="false">-E10*(Premissas!$B$44+Premissas!$B$45)</f>
        <v>-221625</v>
      </c>
      <c r="F18" s="13" t="n">
        <f aca="false">-F10*(Premissas!$B$44+Premissas!$B$45)</f>
        <v>-221625</v>
      </c>
      <c r="G18" s="13" t="n">
        <f aca="false">-G10*(Premissas!$B$44+Premissas!$B$45)</f>
        <v>-221625</v>
      </c>
      <c r="H18" s="13" t="n">
        <f aca="false">-H10*(Premissas!$B$44+Premissas!$B$45)</f>
        <v>-221625</v>
      </c>
      <c r="I18" s="13" t="n">
        <f aca="false">-I10*(Premissas!$B$44+Premissas!$B$45)</f>
        <v>-221625</v>
      </c>
      <c r="J18" s="13" t="n">
        <f aca="false">-J10*(Premissas!$B$44+Premissas!$B$45)</f>
        <v>-221625</v>
      </c>
      <c r="K18" s="13" t="n">
        <f aca="false">-K10*(Premissas!$B$44+Premissas!$B$45)</f>
        <v>-221625</v>
      </c>
      <c r="L18" s="13" t="n">
        <f aca="false">-L10*(Premissas!$B$44+Premissas!$B$45)</f>
        <v>-221625</v>
      </c>
      <c r="M18" s="13" t="n">
        <f aca="false">-M10*(Premissas!$B$44+Premissas!$B$45)</f>
        <v>-221625</v>
      </c>
      <c r="N18" s="13" t="n">
        <f aca="false">-N10*(Premissas!$B$44+Premissas!$B$45)</f>
        <v>-221625</v>
      </c>
    </row>
    <row r="19" customFormat="false" ht="15" hidden="false" customHeight="false" outlineLevel="0" collapsed="false">
      <c r="A19" s="2" t="s">
        <v>167</v>
      </c>
      <c r="B19" s="13" t="n">
        <f aca="false">-B4*1000*Premissas!$B$46</f>
        <v>-0</v>
      </c>
      <c r="C19" s="13" t="n">
        <f aca="false">-C4*1000*Premissas!$B$46</f>
        <v>-20000</v>
      </c>
      <c r="D19" s="13" t="n">
        <f aca="false">-D4*1000*Premissas!$B$46</f>
        <v>-25000</v>
      </c>
      <c r="E19" s="13" t="n">
        <f aca="false">-E4*1000*Premissas!$B$46</f>
        <v>-25000</v>
      </c>
      <c r="F19" s="13" t="n">
        <f aca="false">-F4*1000*Premissas!$B$46</f>
        <v>-25000</v>
      </c>
      <c r="G19" s="13" t="n">
        <f aca="false">-G4*1000*Premissas!$B$46</f>
        <v>-25000</v>
      </c>
      <c r="H19" s="13" t="n">
        <f aca="false">-H4*1000*Premissas!$B$46</f>
        <v>-25000</v>
      </c>
      <c r="I19" s="13" t="n">
        <f aca="false">-I4*1000*Premissas!$B$46</f>
        <v>-25000</v>
      </c>
      <c r="J19" s="13" t="n">
        <f aca="false">-J4*1000*Premissas!$B$46</f>
        <v>-25000</v>
      </c>
      <c r="K19" s="13" t="n">
        <f aca="false">-K4*1000*Premissas!$B$46</f>
        <v>-25000</v>
      </c>
      <c r="L19" s="13" t="n">
        <f aca="false">-L4*1000*Premissas!$B$46</f>
        <v>-25000</v>
      </c>
      <c r="M19" s="13" t="n">
        <f aca="false">-M4*1000*Premissas!$B$46</f>
        <v>-25000</v>
      </c>
      <c r="N19" s="13" t="n">
        <f aca="false">-N4*1000*Premissas!$B$46</f>
        <v>-25000</v>
      </c>
    </row>
    <row r="20" customFormat="false" ht="15" hidden="false" customHeight="false" outlineLevel="0" collapsed="false">
      <c r="A20" s="14" t="s">
        <v>168</v>
      </c>
      <c r="B20" s="15" t="n">
        <f aca="false">SUM(B12:B19)</f>
        <v>0</v>
      </c>
      <c r="C20" s="15" t="n">
        <f aca="false">SUM(C12:C19)</f>
        <v>1603178.2</v>
      </c>
      <c r="D20" s="15" t="n">
        <f aca="false">SUM(D12:D19)</f>
        <v>2003972.75</v>
      </c>
      <c r="E20" s="15" t="n">
        <f aca="false">SUM(E12:E19)</f>
        <v>2003972.75</v>
      </c>
      <c r="F20" s="15" t="n">
        <f aca="false">SUM(F12:F19)</f>
        <v>2003972.75</v>
      </c>
      <c r="G20" s="15" t="n">
        <f aca="false">SUM(G12:G19)</f>
        <v>2003972.75</v>
      </c>
      <c r="H20" s="15" t="n">
        <f aca="false">SUM(H12:H19)</f>
        <v>2003972.75</v>
      </c>
      <c r="I20" s="15" t="n">
        <f aca="false">SUM(I12:I19)</f>
        <v>2003972.75</v>
      </c>
      <c r="J20" s="15" t="n">
        <f aca="false">SUM(J12:J19)</f>
        <v>2003972.75</v>
      </c>
      <c r="K20" s="15" t="n">
        <f aca="false">SUM(K12:K19)</f>
        <v>2003972.75</v>
      </c>
      <c r="L20" s="15" t="n">
        <f aca="false">SUM(L12:L19)</f>
        <v>2003972.75</v>
      </c>
      <c r="M20" s="15" t="n">
        <f aca="false">SUM(M12:M19)</f>
        <v>2003972.75</v>
      </c>
      <c r="N20" s="15" t="n">
        <f aca="false">SUM(N12:N19)</f>
        <v>2003972.75</v>
      </c>
    </row>
    <row r="22" customFormat="false" ht="15" hidden="false" customHeight="false" outlineLevel="0" collapsed="false">
      <c r="A22" s="2" t="s">
        <v>169</v>
      </c>
      <c r="B22" s="13" t="n">
        <v>0</v>
      </c>
      <c r="C22" s="13" t="n">
        <f aca="false">-Premissas!$B$50</f>
        <v>-507794.356</v>
      </c>
      <c r="D22" s="13" t="n">
        <f aca="false">-Premissas!$B$50</f>
        <v>-507794.356</v>
      </c>
      <c r="E22" s="13" t="n">
        <f aca="false">-Premissas!$B$50</f>
        <v>-507794.356</v>
      </c>
      <c r="F22" s="13" t="n">
        <f aca="false">-Premissas!$B$50</f>
        <v>-507794.356</v>
      </c>
      <c r="G22" s="13" t="n">
        <f aca="false">-Premissas!$B$50</f>
        <v>-507794.356</v>
      </c>
      <c r="H22" s="13" t="n">
        <f aca="false">-Premissas!$B$50</f>
        <v>-507794.356</v>
      </c>
      <c r="I22" s="13" t="n">
        <f aca="false">-Premissas!$B$50</f>
        <v>-507794.356</v>
      </c>
      <c r="J22" s="13" t="n">
        <f aca="false">-Premissas!$B$50</f>
        <v>-507794.356</v>
      </c>
      <c r="K22" s="13" t="n">
        <f aca="false">-Premissas!$B$50</f>
        <v>-507794.356</v>
      </c>
      <c r="L22" s="13" t="n">
        <f aca="false">-Premissas!$B$50</f>
        <v>-507794.356</v>
      </c>
      <c r="M22" s="13" t="n">
        <f aca="false">-Premissas!$B$50</f>
        <v>-507794.356</v>
      </c>
      <c r="N22" s="13" t="n">
        <f aca="false">-Premissas!$B$50</f>
        <v>-507794.356</v>
      </c>
    </row>
    <row r="23" customFormat="false" ht="15" hidden="false" customHeight="false" outlineLevel="0" collapsed="false">
      <c r="A23" s="2" t="s">
        <v>170</v>
      </c>
      <c r="B23" s="13" t="n">
        <v>0</v>
      </c>
      <c r="C23" s="13" t="n">
        <f aca="false">-(Premissas!$B$51+Premissas!$B$52)</f>
        <v>-100000</v>
      </c>
      <c r="D23" s="13" t="n">
        <f aca="false">-(Premissas!$B$51+Premissas!$B$52)</f>
        <v>-100000</v>
      </c>
      <c r="E23" s="13" t="n">
        <f aca="false">-(Premissas!$B$51+Premissas!$B$52)</f>
        <v>-100000</v>
      </c>
      <c r="F23" s="13" t="n">
        <f aca="false">-(Premissas!$B$51+Premissas!$B$52)</f>
        <v>-100000</v>
      </c>
      <c r="G23" s="13" t="n">
        <f aca="false">-(Premissas!$B$51+Premissas!$B$52)</f>
        <v>-100000</v>
      </c>
      <c r="H23" s="13" t="n">
        <f aca="false">-(Premissas!$B$51+Premissas!$B$52)</f>
        <v>-100000</v>
      </c>
      <c r="I23" s="13" t="n">
        <f aca="false">-(Premissas!$B$51+Premissas!$B$52)</f>
        <v>-100000</v>
      </c>
      <c r="J23" s="13" t="n">
        <f aca="false">-(Premissas!$B$51+Premissas!$B$52)</f>
        <v>-100000</v>
      </c>
      <c r="K23" s="13" t="n">
        <f aca="false">-(Premissas!$B$51+Premissas!$B$52)</f>
        <v>-100000</v>
      </c>
      <c r="L23" s="13" t="n">
        <f aca="false">-(Premissas!$B$51+Premissas!$B$52)</f>
        <v>-100000</v>
      </c>
      <c r="M23" s="13" t="n">
        <f aca="false">-(Premissas!$B$51+Premissas!$B$52)</f>
        <v>-100000</v>
      </c>
      <c r="N23" s="13" t="n">
        <f aca="false">-(Premissas!$B$51+Premissas!$B$52)</f>
        <v>-100000</v>
      </c>
    </row>
    <row r="24" customFormat="false" ht="15" hidden="false" customHeight="false" outlineLevel="0" collapsed="false">
      <c r="A24" s="2" t="s">
        <v>171</v>
      </c>
      <c r="B24" s="13" t="n">
        <v>0</v>
      </c>
      <c r="C24" s="13" t="n">
        <f aca="false">-(Premissas!$B$53+Premissas!$B$54)</f>
        <v>-198000</v>
      </c>
      <c r="D24" s="13" t="n">
        <f aca="false">-(Premissas!$B$53+Premissas!$B$54)</f>
        <v>-198000</v>
      </c>
      <c r="E24" s="13" t="n">
        <f aca="false">-(Premissas!$B$53+Premissas!$B$54)</f>
        <v>-198000</v>
      </c>
      <c r="F24" s="13" t="n">
        <f aca="false">-(Premissas!$B$53+Premissas!$B$54)</f>
        <v>-198000</v>
      </c>
      <c r="G24" s="13" t="n">
        <f aca="false">-(Premissas!$B$53+Premissas!$B$54)</f>
        <v>-198000</v>
      </c>
      <c r="H24" s="13" t="n">
        <f aca="false">-(Premissas!$B$53+Premissas!$B$54)</f>
        <v>-198000</v>
      </c>
      <c r="I24" s="13" t="n">
        <f aca="false">-(Premissas!$B$53+Premissas!$B$54)</f>
        <v>-198000</v>
      </c>
      <c r="J24" s="13" t="n">
        <f aca="false">-(Premissas!$B$53+Premissas!$B$54)</f>
        <v>-198000</v>
      </c>
      <c r="K24" s="13" t="n">
        <f aca="false">-(Premissas!$B$53+Premissas!$B$54)</f>
        <v>-198000</v>
      </c>
      <c r="L24" s="13" t="n">
        <f aca="false">-(Premissas!$B$53+Premissas!$B$54)</f>
        <v>-198000</v>
      </c>
      <c r="M24" s="13" t="n">
        <f aca="false">-(Premissas!$B$53+Premissas!$B$54)</f>
        <v>-198000</v>
      </c>
      <c r="N24" s="13" t="n">
        <f aca="false">-(Premissas!$B$53+Premissas!$B$54)</f>
        <v>-198000</v>
      </c>
    </row>
    <row r="25" customFormat="false" ht="15" hidden="false" customHeight="false" outlineLevel="0" collapsed="false">
      <c r="A25" s="2" t="s">
        <v>172</v>
      </c>
      <c r="B25" s="13" t="n">
        <v>0</v>
      </c>
      <c r="C25" s="13" t="n">
        <f aca="false">-(Premissas!$B$11*Premissas!$B$8*Premissas!$B$55+Premissas!$B$12*Premissas!$B$8*Premissas!$B$56+Premissas!$B$14*Premissas!$B$57)</f>
        <v>-75491.84</v>
      </c>
      <c r="D25" s="13" t="n">
        <f aca="false">-(Premissas!$B$11*Premissas!$B$8*Premissas!$B$55+Premissas!$B$12*Premissas!$B$8*Premissas!$B$56+Premissas!$B$14*Premissas!$B$57)</f>
        <v>-75491.84</v>
      </c>
      <c r="E25" s="13" t="n">
        <f aca="false">-(Premissas!$B$11*Premissas!$B$8*Premissas!$B$55+Premissas!$B$12*Premissas!$B$8*Premissas!$B$56+Premissas!$B$14*Premissas!$B$57)</f>
        <v>-75491.84</v>
      </c>
      <c r="F25" s="13" t="n">
        <f aca="false">-(Premissas!$B$11*Premissas!$B$8*Premissas!$B$55+Premissas!$B$12*Premissas!$B$8*Premissas!$B$56+Premissas!$B$14*Premissas!$B$57)</f>
        <v>-75491.84</v>
      </c>
      <c r="G25" s="13" t="n">
        <f aca="false">-(Premissas!$B$11*Premissas!$B$8*Premissas!$B$55+Premissas!$B$12*Premissas!$B$8*Premissas!$B$56+Premissas!$B$14*Premissas!$B$57)</f>
        <v>-75491.84</v>
      </c>
      <c r="H25" s="13" t="n">
        <f aca="false">-(Premissas!$B$11*Premissas!$B$8*Premissas!$B$55+Premissas!$B$12*Premissas!$B$8*Premissas!$B$56+Premissas!$B$14*Premissas!$B$57)</f>
        <v>-75491.84</v>
      </c>
      <c r="I25" s="13" t="n">
        <f aca="false">-(Premissas!$B$11*Premissas!$B$8*Premissas!$B$55+Premissas!$B$12*Premissas!$B$8*Premissas!$B$56+Premissas!$B$14*Premissas!$B$57)</f>
        <v>-75491.84</v>
      </c>
      <c r="J25" s="13" t="n">
        <f aca="false">-(Premissas!$B$11*Premissas!$B$8*Premissas!$B$55+Premissas!$B$12*Premissas!$B$8*Premissas!$B$56+Premissas!$B$14*Premissas!$B$57)</f>
        <v>-75491.84</v>
      </c>
      <c r="K25" s="13" t="n">
        <f aca="false">-(Premissas!$B$11*Premissas!$B$8*Premissas!$B$55+Premissas!$B$12*Premissas!$B$8*Premissas!$B$56+Premissas!$B$14*Premissas!$B$57)</f>
        <v>-75491.84</v>
      </c>
      <c r="L25" s="13" t="n">
        <f aca="false">-(Premissas!$B$11*Premissas!$B$8*Premissas!$B$55+Premissas!$B$12*Premissas!$B$8*Premissas!$B$56+Premissas!$B$14*Premissas!$B$57)</f>
        <v>-75491.84</v>
      </c>
      <c r="M25" s="13" t="n">
        <f aca="false">-(Premissas!$B$11*Premissas!$B$8*Premissas!$B$55+Premissas!$B$12*Premissas!$B$8*Premissas!$B$56+Premissas!$B$14*Premissas!$B$57)</f>
        <v>-75491.84</v>
      </c>
      <c r="N25" s="13" t="n">
        <f aca="false">-(Premissas!$B$11*Premissas!$B$8*Premissas!$B$55+Premissas!$B$12*Premissas!$B$8*Premissas!$B$56+Premissas!$B$14*Premissas!$B$57)</f>
        <v>-75491.84</v>
      </c>
    </row>
    <row r="26" customFormat="false" ht="15" hidden="false" customHeight="false" outlineLevel="0" collapsed="false">
      <c r="A26" s="14" t="s">
        <v>173</v>
      </c>
      <c r="B26" s="15" t="n">
        <f aca="false">B20+SUM(B22:B25)</f>
        <v>0</v>
      </c>
      <c r="C26" s="15" t="n">
        <f aca="false">C20+SUM(C22:C25)</f>
        <v>721892.004</v>
      </c>
      <c r="D26" s="15" t="n">
        <f aca="false">D20+SUM(D22:D25)</f>
        <v>1122686.554</v>
      </c>
      <c r="E26" s="15" t="n">
        <f aca="false">E20+SUM(E22:E25)</f>
        <v>1122686.554</v>
      </c>
      <c r="F26" s="15" t="n">
        <f aca="false">F20+SUM(F22:F25)</f>
        <v>1122686.554</v>
      </c>
      <c r="G26" s="15" t="n">
        <f aca="false">G20+SUM(G22:G25)</f>
        <v>1122686.554</v>
      </c>
      <c r="H26" s="15" t="n">
        <f aca="false">H20+SUM(H22:H25)</f>
        <v>1122686.554</v>
      </c>
      <c r="I26" s="15" t="n">
        <f aca="false">I20+SUM(I22:I25)</f>
        <v>1122686.554</v>
      </c>
      <c r="J26" s="15" t="n">
        <f aca="false">J20+SUM(J22:J25)</f>
        <v>1122686.554</v>
      </c>
      <c r="K26" s="15" t="n">
        <f aca="false">K20+SUM(K22:K25)</f>
        <v>1122686.554</v>
      </c>
      <c r="L26" s="15" t="n">
        <f aca="false">L20+SUM(L22:L25)</f>
        <v>1122686.554</v>
      </c>
      <c r="M26" s="15" t="n">
        <f aca="false">M20+SUM(M22:M25)</f>
        <v>1122686.554</v>
      </c>
      <c r="N26" s="15" t="n">
        <f aca="false">N20+SUM(N22:N25)</f>
        <v>1122686.554</v>
      </c>
    </row>
    <row r="27" customFormat="false" ht="15" hidden="false" customHeight="false" outlineLevel="0" collapsed="false">
      <c r="A27" s="2" t="s">
        <v>174</v>
      </c>
      <c r="B27" s="18" t="n">
        <f aca="false">IF(B12=0,0,B26/B12)</f>
        <v>0</v>
      </c>
      <c r="C27" s="18" t="n">
        <f aca="false">IF(C12=0,0,C26/C12)</f>
        <v>0.14415524847536</v>
      </c>
      <c r="D27" s="18" t="n">
        <f aca="false">IF(D12=0,0,D26/D12)</f>
        <v>0.179352211416727</v>
      </c>
      <c r="E27" s="18" t="n">
        <f aca="false">IF(E12=0,0,E26/E12)</f>
        <v>0.179352211416727</v>
      </c>
      <c r="F27" s="18" t="n">
        <f aca="false">IF(F12=0,0,F26/F12)</f>
        <v>0.179352211416727</v>
      </c>
      <c r="G27" s="18" t="n">
        <f aca="false">IF(G12=0,0,G26/G12)</f>
        <v>0.179352211416727</v>
      </c>
      <c r="H27" s="18" t="n">
        <f aca="false">IF(H12=0,0,H26/H12)</f>
        <v>0.179352211416727</v>
      </c>
      <c r="I27" s="18" t="n">
        <f aca="false">IF(I12=0,0,I26/I12)</f>
        <v>0.179352211416727</v>
      </c>
      <c r="J27" s="18" t="n">
        <f aca="false">IF(J12=0,0,J26/J12)</f>
        <v>0.179352211416727</v>
      </c>
      <c r="K27" s="18" t="n">
        <f aca="false">IF(K12=0,0,K26/K12)</f>
        <v>0.179352211416727</v>
      </c>
      <c r="L27" s="18" t="n">
        <f aca="false">IF(L12=0,0,L26/L12)</f>
        <v>0.179352211416727</v>
      </c>
      <c r="M27" s="18" t="n">
        <f aca="false">IF(M12=0,0,M26/M12)</f>
        <v>0.179352211416727</v>
      </c>
      <c r="N27" s="18" t="n">
        <f aca="false">IF(N12=0,0,N26/N12)</f>
        <v>0.179352211416727</v>
      </c>
    </row>
    <row r="28" customFormat="false" ht="15" hidden="false" customHeight="false" outlineLevel="0" collapsed="false">
      <c r="A28" s="2" t="s">
        <v>175</v>
      </c>
      <c r="B28" s="13" t="n">
        <v>0</v>
      </c>
      <c r="C28" s="13" t="n">
        <f aca="false">-(Premissas!$B$11*Premissas!$B$8/Premissas!$B$61+(Premissas!$B$12+Premissas!$B$13)*Premissas!$B$8/Premissas!$B$62)</f>
        <v>-275662.4</v>
      </c>
      <c r="D28" s="13" t="n">
        <f aca="false">-(Premissas!$B$11*Premissas!$B$8/Premissas!$B$61+(Premissas!$B$12+Premissas!$B$13)*Premissas!$B$8/Premissas!$B$62)</f>
        <v>-275662.4</v>
      </c>
      <c r="E28" s="13" t="n">
        <f aca="false">-(Premissas!$B$11*Premissas!$B$8/Premissas!$B$61+(Premissas!$B$12+Premissas!$B$13)*Premissas!$B$8/Premissas!$B$62)</f>
        <v>-275662.4</v>
      </c>
      <c r="F28" s="13" t="n">
        <f aca="false">-(Premissas!$B$11*Premissas!$B$8/Premissas!$B$61+(Premissas!$B$12+Premissas!$B$13)*Premissas!$B$8/Premissas!$B$62)</f>
        <v>-275662.4</v>
      </c>
      <c r="G28" s="13" t="n">
        <f aca="false">-(Premissas!$B$11*Premissas!$B$8/Premissas!$B$61+(Premissas!$B$12+Premissas!$B$13)*Premissas!$B$8/Premissas!$B$62)</f>
        <v>-275662.4</v>
      </c>
      <c r="H28" s="13" t="n">
        <f aca="false">-(Premissas!$B$11*Premissas!$B$8/Premissas!$B$61+(Premissas!$B$12+Premissas!$B$13)*Premissas!$B$8/Premissas!$B$62)</f>
        <v>-275662.4</v>
      </c>
      <c r="I28" s="13" t="n">
        <f aca="false">-(Premissas!$B$11*Premissas!$B$8/Premissas!$B$61+(Premissas!$B$12+Premissas!$B$13)*Premissas!$B$8/Premissas!$B$62)</f>
        <v>-275662.4</v>
      </c>
      <c r="J28" s="13" t="n">
        <f aca="false">-(Premissas!$B$11*Premissas!$B$8/Premissas!$B$61+(Premissas!$B$12+Premissas!$B$13)*Premissas!$B$8/Premissas!$B$62)</f>
        <v>-275662.4</v>
      </c>
      <c r="K28" s="13" t="n">
        <f aca="false">-(Premissas!$B$11*Premissas!$B$8/Premissas!$B$61+(Premissas!$B$12+Premissas!$B$13)*Premissas!$B$8/Premissas!$B$62)</f>
        <v>-275662.4</v>
      </c>
      <c r="L28" s="13" t="n">
        <f aca="false">-(Premissas!$B$11*Premissas!$B$8/Premissas!$B$61+(Premissas!$B$12+Premissas!$B$13)*Premissas!$B$8/Premissas!$B$62)</f>
        <v>-275662.4</v>
      </c>
      <c r="M28" s="13" t="n">
        <f aca="false">-(Premissas!$B$11*Premissas!$B$8/Premissas!$B$61+(Premissas!$B$12+Premissas!$B$13)*Premissas!$B$8/Premissas!$B$62)</f>
        <v>-275662.4</v>
      </c>
      <c r="N28" s="13" t="n">
        <f aca="false">-(Premissas!$B$11*Premissas!$B$8/Premissas!$B$61+(Premissas!$B$12+Premissas!$B$13)*Premissas!$B$8/Premissas!$B$62)</f>
        <v>-275662.4</v>
      </c>
    </row>
    <row r="30" customFormat="false" ht="15" hidden="false" customHeight="false" outlineLevel="0" collapsed="false">
      <c r="A30" s="2" t="s">
        <v>176</v>
      </c>
      <c r="B30" s="13" t="n">
        <f aca="false">Premissas!$B$15</f>
        <v>2000000</v>
      </c>
      <c r="C30" s="13" t="n">
        <f aca="false">Premissas!$B$15</f>
        <v>2000000</v>
      </c>
      <c r="D30" s="13" t="n">
        <f aca="false">C30+C32</f>
        <v>2000000</v>
      </c>
      <c r="E30" s="13" t="n">
        <f aca="false">D30+D32</f>
        <v>2000000</v>
      </c>
      <c r="F30" s="13" t="n">
        <f aca="false">E30+E32</f>
        <v>2000000</v>
      </c>
      <c r="G30" s="13" t="n">
        <f aca="false">F30+F32</f>
        <v>2000000</v>
      </c>
      <c r="H30" s="13" t="n">
        <f aca="false">G30+G32</f>
        <v>1750000</v>
      </c>
      <c r="I30" s="13" t="n">
        <f aca="false">H30+H32</f>
        <v>1500000</v>
      </c>
      <c r="J30" s="13" t="n">
        <f aca="false">I30+I32</f>
        <v>1250000</v>
      </c>
      <c r="K30" s="13" t="n">
        <f aca="false">J30+J32</f>
        <v>1000000</v>
      </c>
      <c r="L30" s="13" t="n">
        <f aca="false">K30+K32</f>
        <v>750000</v>
      </c>
      <c r="M30" s="13" t="n">
        <f aca="false">L30+L32</f>
        <v>500000</v>
      </c>
      <c r="N30" s="13" t="n">
        <f aca="false">M30+M32</f>
        <v>250000</v>
      </c>
    </row>
    <row r="31" customFormat="false" ht="15" hidden="false" customHeight="false" outlineLevel="0" collapsed="false">
      <c r="A31" s="2" t="s">
        <v>177</v>
      </c>
      <c r="B31" s="13" t="n">
        <f aca="false">-Premissas!$B$15*Premissas!$B$16*Premissas!$B$19</f>
        <v>-100000</v>
      </c>
      <c r="C31" s="13" t="n">
        <f aca="false">-C30*Premissas!$B$16</f>
        <v>-200000</v>
      </c>
      <c r="D31" s="13" t="n">
        <f aca="false">-D30*Premissas!$B$16</f>
        <v>-200000</v>
      </c>
      <c r="E31" s="13" t="n">
        <f aca="false">-E30*Premissas!$B$16</f>
        <v>-200000</v>
      </c>
      <c r="F31" s="13" t="n">
        <f aca="false">-F30*Premissas!$B$16</f>
        <v>-200000</v>
      </c>
      <c r="G31" s="13" t="n">
        <f aca="false">-G30*Premissas!$B$16</f>
        <v>-200000</v>
      </c>
      <c r="H31" s="13" t="n">
        <f aca="false">-H30*Premissas!$B$16</f>
        <v>-175000</v>
      </c>
      <c r="I31" s="13" t="n">
        <f aca="false">-I30*Premissas!$B$16</f>
        <v>-150000</v>
      </c>
      <c r="J31" s="13" t="n">
        <f aca="false">-J30*Premissas!$B$16</f>
        <v>-125000</v>
      </c>
      <c r="K31" s="13" t="n">
        <f aca="false">-K30*Premissas!$B$16</f>
        <v>-100000</v>
      </c>
      <c r="L31" s="13" t="n">
        <f aca="false">-L30*Premissas!$B$16</f>
        <v>-75000</v>
      </c>
      <c r="M31" s="13" t="n">
        <f aca="false">-M30*Premissas!$B$16</f>
        <v>-50000</v>
      </c>
      <c r="N31" s="13" t="n">
        <f aca="false">-N30*Premissas!$B$16</f>
        <v>-25000</v>
      </c>
    </row>
    <row r="32" customFormat="false" ht="15" hidden="false" customHeight="false" outlineLevel="0" collapsed="false">
      <c r="A32" s="2" t="s">
        <v>178</v>
      </c>
      <c r="B32" s="13" t="n">
        <v>0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f aca="false">-Premissas!$B$15/(Premissas!$B$17-Premissas!$B$18)</f>
        <v>-250000</v>
      </c>
      <c r="H32" s="13" t="n">
        <f aca="false">-Premissas!$B$15/(Premissas!$B$17-Premissas!$B$18)</f>
        <v>-250000</v>
      </c>
      <c r="I32" s="13" t="n">
        <f aca="false">-Premissas!$B$15/(Premissas!$B$17-Premissas!$B$18)</f>
        <v>-250000</v>
      </c>
      <c r="J32" s="13" t="n">
        <f aca="false">-Premissas!$B$15/(Premissas!$B$17-Premissas!$B$18)</f>
        <v>-250000</v>
      </c>
      <c r="K32" s="13" t="n">
        <f aca="false">-Premissas!$B$15/(Premissas!$B$17-Premissas!$B$18)</f>
        <v>-250000</v>
      </c>
      <c r="L32" s="13" t="n">
        <f aca="false">-Premissas!$B$15/(Premissas!$B$17-Premissas!$B$18)</f>
        <v>-250000</v>
      </c>
      <c r="M32" s="13" t="n">
        <f aca="false">-Premissas!$B$15/(Premissas!$B$17-Premissas!$B$18)</f>
        <v>-250000</v>
      </c>
      <c r="N32" s="13" t="n">
        <f aca="false">-Premissas!$B$15/(Premissas!$B$17-Premissas!$B$18)</f>
        <v>-250000</v>
      </c>
    </row>
    <row r="33" customFormat="false" ht="15" hidden="false" customHeight="false" outlineLevel="0" collapsed="false">
      <c r="A33" s="2" t="s">
        <v>179</v>
      </c>
      <c r="B33" s="13" t="n">
        <v>0</v>
      </c>
      <c r="C33" s="13" t="n">
        <f aca="false">-Premissas!$B$60*Premissas!$B$16</f>
        <v>-60000</v>
      </c>
      <c r="D33" s="13" t="n">
        <f aca="false">-Premissas!$B$60*Premissas!$B$16</f>
        <v>-60000</v>
      </c>
      <c r="E33" s="13" t="n">
        <f aca="false">-Premissas!$B$60*Premissas!$B$16</f>
        <v>-60000</v>
      </c>
      <c r="F33" s="13" t="n">
        <f aca="false">-Premissas!$B$60*Premissas!$B$16</f>
        <v>-60000</v>
      </c>
      <c r="G33" s="13" t="n">
        <f aca="false">-Premissas!$B$60*Premissas!$B$16</f>
        <v>-60000</v>
      </c>
      <c r="H33" s="13" t="n">
        <f aca="false">-Premissas!$B$60*Premissas!$B$16</f>
        <v>-60000</v>
      </c>
      <c r="I33" s="13" t="n">
        <f aca="false">-Premissas!$B$60*Premissas!$B$16</f>
        <v>-60000</v>
      </c>
      <c r="J33" s="13" t="n">
        <f aca="false">-Premissas!$B$60*Premissas!$B$16</f>
        <v>-60000</v>
      </c>
      <c r="K33" s="13" t="n">
        <f aca="false">-Premissas!$B$60*Premissas!$B$16</f>
        <v>-60000</v>
      </c>
      <c r="L33" s="13" t="n">
        <f aca="false">-Premissas!$B$60*Premissas!$B$16</f>
        <v>-60000</v>
      </c>
      <c r="M33" s="13" t="n">
        <f aca="false">-Premissas!$B$60*Premissas!$B$16</f>
        <v>-60000</v>
      </c>
      <c r="N33" s="13" t="n">
        <f aca="false">-Premissas!$B$60*Premissas!$B$16</f>
        <v>-60000</v>
      </c>
    </row>
    <row r="34" customFormat="false" ht="15" hidden="false" customHeight="false" outlineLevel="0" collapsed="false">
      <c r="A34" s="14" t="s">
        <v>180</v>
      </c>
      <c r="B34" s="15" t="n">
        <v>0</v>
      </c>
      <c r="C34" s="15" t="n">
        <f aca="false">-(C31+C32+C33)</f>
        <v>260000</v>
      </c>
      <c r="D34" s="15" t="n">
        <f aca="false">-(D31+D32+D33)</f>
        <v>260000</v>
      </c>
      <c r="E34" s="15" t="n">
        <f aca="false">-(E31+E32+E33)</f>
        <v>260000</v>
      </c>
      <c r="F34" s="15" t="n">
        <f aca="false">-(F31+F32+F33)</f>
        <v>260000</v>
      </c>
      <c r="G34" s="15" t="n">
        <f aca="false">-(G31+G32+G33)</f>
        <v>510000</v>
      </c>
      <c r="H34" s="15" t="n">
        <f aca="false">-(H31+H32+H33)</f>
        <v>485000</v>
      </c>
      <c r="I34" s="15" t="n">
        <f aca="false">-(I31+I32+I33)</f>
        <v>460000</v>
      </c>
      <c r="J34" s="15" t="n">
        <f aca="false">-(J31+J32+J33)</f>
        <v>435000</v>
      </c>
      <c r="K34" s="15" t="n">
        <f aca="false">-(K31+K32+K33)</f>
        <v>410000</v>
      </c>
      <c r="L34" s="15" t="n">
        <f aca="false">-(L31+L32+L33)</f>
        <v>385000</v>
      </c>
      <c r="M34" s="15" t="n">
        <f aca="false">-(M31+M32+M33)</f>
        <v>360000</v>
      </c>
      <c r="N34" s="15" t="n">
        <f aca="false">-(N31+N32+N33)</f>
        <v>335000</v>
      </c>
    </row>
    <row r="35" customFormat="false" ht="15" hidden="false" customHeight="false" outlineLevel="0" collapsed="false">
      <c r="A35" s="2" t="s">
        <v>181</v>
      </c>
      <c r="B35" s="13" t="n">
        <f aca="false">-B15*Premissas!$B$36</f>
        <v>0</v>
      </c>
      <c r="C35" s="13" t="n">
        <f aca="false">-C15*Premissas!$B$36</f>
        <v>120575</v>
      </c>
      <c r="D35" s="13" t="n">
        <f aca="false">-D15*Premissas!$B$36</f>
        <v>150718.75</v>
      </c>
      <c r="E35" s="13" t="n">
        <f aca="false">-E15*Premissas!$B$36</f>
        <v>150718.75</v>
      </c>
      <c r="F35" s="13" t="n">
        <f aca="false">-F15*Premissas!$B$36</f>
        <v>150718.75</v>
      </c>
      <c r="G35" s="13" t="n">
        <f aca="false">-G15*Premissas!$B$36</f>
        <v>150718.75</v>
      </c>
      <c r="H35" s="13" t="n">
        <f aca="false">-H15*Premissas!$B$36</f>
        <v>150718.75</v>
      </c>
      <c r="I35" s="13" t="n">
        <f aca="false">-I15*Premissas!$B$36</f>
        <v>150718.75</v>
      </c>
      <c r="J35" s="13" t="n">
        <f aca="false">-J15*Premissas!$B$36</f>
        <v>150718.75</v>
      </c>
      <c r="K35" s="13" t="n">
        <f aca="false">-K15*Premissas!$B$36</f>
        <v>150718.75</v>
      </c>
      <c r="L35" s="13" t="n">
        <f aca="false">-L15*Premissas!$B$36</f>
        <v>150718.75</v>
      </c>
      <c r="M35" s="13" t="n">
        <f aca="false">-M15*Premissas!$B$36</f>
        <v>150718.75</v>
      </c>
      <c r="N35" s="13" t="n">
        <f aca="false">-N15*Premissas!$B$36</f>
        <v>150718.75</v>
      </c>
    </row>
    <row r="36" customFormat="false" ht="15" hidden="false" customHeight="false" outlineLevel="0" collapsed="false">
      <c r="A36" s="14" t="s">
        <v>182</v>
      </c>
      <c r="B36" s="15" t="n">
        <f aca="false">B26+B35</f>
        <v>0</v>
      </c>
      <c r="C36" s="15" t="n">
        <f aca="false">C26+C35</f>
        <v>842467.004</v>
      </c>
      <c r="D36" s="15" t="n">
        <f aca="false">D26+D35</f>
        <v>1273405.304</v>
      </c>
      <c r="E36" s="15" t="n">
        <f aca="false">E26+E35</f>
        <v>1273405.304</v>
      </c>
      <c r="F36" s="15" t="n">
        <f aca="false">F26+F35</f>
        <v>1273405.304</v>
      </c>
      <c r="G36" s="15" t="n">
        <f aca="false">G26+G35</f>
        <v>1273405.304</v>
      </c>
      <c r="H36" s="15" t="n">
        <f aca="false">H26+H35</f>
        <v>1273405.304</v>
      </c>
      <c r="I36" s="15" t="n">
        <f aca="false">I26+I35</f>
        <v>1273405.304</v>
      </c>
      <c r="J36" s="15" t="n">
        <f aca="false">J26+J35</f>
        <v>1273405.304</v>
      </c>
      <c r="K36" s="15" t="n">
        <f aca="false">K26+K35</f>
        <v>1273405.304</v>
      </c>
      <c r="L36" s="15" t="n">
        <f aca="false">L26+L35</f>
        <v>1273405.304</v>
      </c>
      <c r="M36" s="15" t="n">
        <f aca="false">M26+M35</f>
        <v>1273405.304</v>
      </c>
      <c r="N36" s="15" t="n">
        <f aca="false">N26+N35</f>
        <v>1273405.304</v>
      </c>
    </row>
    <row r="37" customFormat="false" ht="15" hidden="false" customHeight="false" outlineLevel="0" collapsed="false">
      <c r="A37" s="14" t="s">
        <v>183</v>
      </c>
      <c r="B37" s="19"/>
      <c r="C37" s="19" t="n">
        <f aca="false">C36/C34</f>
        <v>3.24025770769231</v>
      </c>
      <c r="D37" s="19" t="n">
        <f aca="false">D36/D34</f>
        <v>4.89771270769231</v>
      </c>
      <c r="E37" s="19" t="n">
        <f aca="false">E36/E34</f>
        <v>4.89771270769231</v>
      </c>
      <c r="F37" s="19" t="n">
        <f aca="false">F36/F34</f>
        <v>4.89771270769231</v>
      </c>
      <c r="G37" s="19" t="n">
        <f aca="false">G36/G34</f>
        <v>2.49687314509804</v>
      </c>
      <c r="H37" s="19" t="n">
        <f aca="false">H36/H34</f>
        <v>2.62557794639175</v>
      </c>
      <c r="I37" s="19" t="n">
        <f aca="false">I36/I34</f>
        <v>2.7682724</v>
      </c>
      <c r="J37" s="19" t="n">
        <f aca="false">J36/J34</f>
        <v>2.92736851494253</v>
      </c>
      <c r="K37" s="19" t="n">
        <f aca="false">K36/K34</f>
        <v>3.10586659512195</v>
      </c>
      <c r="L37" s="19" t="n">
        <f aca="false">L36/L34</f>
        <v>3.30754624415584</v>
      </c>
      <c r="M37" s="19" t="n">
        <f aca="false">M36/M34</f>
        <v>3.53723695555555</v>
      </c>
      <c r="N37" s="19" t="n">
        <f aca="false">N36/N34</f>
        <v>3.80120986268657</v>
      </c>
    </row>
    <row r="38" customFormat="false" ht="15" hidden="false" customHeight="false" outlineLevel="0" collapsed="false">
      <c r="A38" s="2" t="s">
        <v>184</v>
      </c>
      <c r="B38" s="20"/>
      <c r="C38" s="20" t="n">
        <f aca="false">C26/C34</f>
        <v>2.77650770769231</v>
      </c>
      <c r="D38" s="20" t="n">
        <f aca="false">D26/D34</f>
        <v>4.31802520769231</v>
      </c>
      <c r="E38" s="20" t="n">
        <f aca="false">E26/E34</f>
        <v>4.31802520769231</v>
      </c>
      <c r="F38" s="20" t="n">
        <f aca="false">F26/F34</f>
        <v>4.31802520769231</v>
      </c>
      <c r="G38" s="20" t="n">
        <f aca="false">G26/G34</f>
        <v>2.20134618431372</v>
      </c>
      <c r="H38" s="20" t="n">
        <f aca="false">H26/H34</f>
        <v>2.3148176371134</v>
      </c>
      <c r="I38" s="20" t="n">
        <f aca="false">I26/I34</f>
        <v>2.44062294347826</v>
      </c>
      <c r="J38" s="20" t="n">
        <f aca="false">J26/J34</f>
        <v>2.58088862988506</v>
      </c>
      <c r="K38" s="20" t="n">
        <f aca="false">K26/K34</f>
        <v>2.73825988780488</v>
      </c>
      <c r="L38" s="20" t="n">
        <f aca="false">L26/L34</f>
        <v>2.91606897142857</v>
      </c>
      <c r="M38" s="20" t="n">
        <f aca="false">M26/M34</f>
        <v>3.11857376111111</v>
      </c>
      <c r="N38" s="20" t="n">
        <f aca="false">N26/N34</f>
        <v>3.35130314626866</v>
      </c>
    </row>
    <row r="40" customFormat="false" ht="15" hidden="false" customHeight="false" outlineLevel="0" collapsed="false">
      <c r="A40" s="2" t="s">
        <v>185</v>
      </c>
      <c r="B40" s="13" t="n">
        <f aca="false">B26+B28+B31+B33</f>
        <v>-100000</v>
      </c>
      <c r="C40" s="13" t="n">
        <f aca="false">C26+C28+C31+C33</f>
        <v>186229.604</v>
      </c>
      <c r="D40" s="13" t="n">
        <f aca="false">D26+D28+D31+D33</f>
        <v>587024.154</v>
      </c>
      <c r="E40" s="13" t="n">
        <f aca="false">E26+E28+E31+E33</f>
        <v>587024.154</v>
      </c>
      <c r="F40" s="13" t="n">
        <f aca="false">F26+F28+F31+F33</f>
        <v>587024.154</v>
      </c>
      <c r="G40" s="13" t="n">
        <f aca="false">G26+G28+G31+G33</f>
        <v>587024.154</v>
      </c>
      <c r="H40" s="13" t="n">
        <f aca="false">H26+H28+H31+H33</f>
        <v>612024.154</v>
      </c>
      <c r="I40" s="13" t="n">
        <f aca="false">I26+I28+I31+I33</f>
        <v>637024.154</v>
      </c>
      <c r="J40" s="13" t="n">
        <f aca="false">J26+J28+J31+J33</f>
        <v>662024.154</v>
      </c>
      <c r="K40" s="13" t="n">
        <f aca="false">K26+K28+K31+K33</f>
        <v>687024.154</v>
      </c>
      <c r="L40" s="13" t="n">
        <f aca="false">L26+L28+L31+L33</f>
        <v>712024.154</v>
      </c>
      <c r="M40" s="13" t="n">
        <f aca="false">M26+M28+M31+M33</f>
        <v>737024.154</v>
      </c>
      <c r="N40" s="13" t="n">
        <f aca="false">N26+N28+N31+N33</f>
        <v>762024.154</v>
      </c>
    </row>
    <row r="41" customFormat="false" ht="15" hidden="false" customHeight="false" outlineLevel="0" collapsed="false">
      <c r="A41" s="2" t="s">
        <v>186</v>
      </c>
      <c r="B41" s="13" t="n">
        <f aca="false">-Premissas!$B$14</f>
        <v>-3831560</v>
      </c>
      <c r="C41" s="13" t="n">
        <f aca="false">C26</f>
        <v>721892.004</v>
      </c>
      <c r="D41" s="13" t="n">
        <f aca="false">D26</f>
        <v>1122686.554</v>
      </c>
      <c r="E41" s="13" t="n">
        <f aca="false">E26</f>
        <v>1122686.554</v>
      </c>
      <c r="F41" s="13" t="n">
        <f aca="false">F26</f>
        <v>1122686.554</v>
      </c>
      <c r="G41" s="13" t="n">
        <f aca="false">G26</f>
        <v>1122686.554</v>
      </c>
      <c r="H41" s="13" t="n">
        <f aca="false">H26</f>
        <v>1122686.554</v>
      </c>
      <c r="I41" s="13" t="n">
        <f aca="false">I26</f>
        <v>1122686.554</v>
      </c>
      <c r="J41" s="13" t="n">
        <f aca="false">J26</f>
        <v>1122686.554</v>
      </c>
      <c r="K41" s="13" t="n">
        <f aca="false">K26</f>
        <v>1122686.554</v>
      </c>
      <c r="L41" s="13" t="n">
        <f aca="false">L26</f>
        <v>1122686.554</v>
      </c>
      <c r="M41" s="13" t="n">
        <f aca="false">M26</f>
        <v>1122686.554</v>
      </c>
      <c r="N41" s="13" t="n">
        <f aca="false">N26</f>
        <v>1122686.554</v>
      </c>
    </row>
    <row r="42" customFormat="false" ht="15" hidden="false" customHeight="false" outlineLevel="0" collapsed="false">
      <c r="A42" s="2" t="s">
        <v>187</v>
      </c>
      <c r="B42" s="13" t="n">
        <f aca="false">-(Premissas!$B$14-Premissas!$B$15)+B31</f>
        <v>-1931560</v>
      </c>
      <c r="C42" s="13" t="n">
        <f aca="false">C26+C31+C32+C33</f>
        <v>461892.004</v>
      </c>
      <c r="D42" s="13" t="n">
        <f aca="false">D26+D31+D32+D33</f>
        <v>862686.554</v>
      </c>
      <c r="E42" s="13" t="n">
        <f aca="false">E26+E31+E32+E33</f>
        <v>862686.554</v>
      </c>
      <c r="F42" s="13" t="n">
        <f aca="false">F26+F31+F32+F33</f>
        <v>862686.554</v>
      </c>
      <c r="G42" s="13" t="n">
        <f aca="false">G26+G31+G32+G33</f>
        <v>612686.554</v>
      </c>
      <c r="H42" s="13" t="n">
        <f aca="false">H26+H31+H32+H33</f>
        <v>637686.554</v>
      </c>
      <c r="I42" s="13" t="n">
        <f aca="false">I26+I31+I32+I33</f>
        <v>662686.554</v>
      </c>
      <c r="J42" s="13" t="n">
        <f aca="false">J26+J31+J32+J33</f>
        <v>687686.554</v>
      </c>
      <c r="K42" s="13" t="n">
        <f aca="false">K26+K31+K32+K33</f>
        <v>712686.554</v>
      </c>
      <c r="L42" s="13" t="n">
        <f aca="false">L26+L31+L32+L33</f>
        <v>737686.554</v>
      </c>
      <c r="M42" s="13" t="n">
        <f aca="false">M26+M31+M32+M33</f>
        <v>762686.554</v>
      </c>
      <c r="N42" s="13" t="n">
        <f aca="false">N26+N31+N32+N33</f>
        <v>787686.554</v>
      </c>
    </row>
    <row r="43" customFormat="false" ht="15" hidden="false" customHeight="false" outlineLevel="0" collapsed="false">
      <c r="A43" s="2" t="s">
        <v>188</v>
      </c>
      <c r="B43" s="13" t="n">
        <f aca="false">B4*1000*(Premissas!$B$33-Premissas!$B$37)</f>
        <v>0</v>
      </c>
      <c r="C43" s="13" t="n">
        <f aca="false">C4*1000*(Premissas!$B$33-Premissas!$B$37)</f>
        <v>11500.0000000002</v>
      </c>
      <c r="D43" s="13" t="n">
        <f aca="false">D4*1000*(Premissas!$B$33-Premissas!$B$37)</f>
        <v>14375.0000000003</v>
      </c>
      <c r="E43" s="13" t="n">
        <f aca="false">E4*1000*(Premissas!$B$33-Premissas!$B$37)</f>
        <v>14375.0000000003</v>
      </c>
      <c r="F43" s="13" t="n">
        <f aca="false">F4*1000*(Premissas!$B$33-Premissas!$B$37)</f>
        <v>14375.0000000003</v>
      </c>
      <c r="G43" s="13" t="n">
        <f aca="false">G4*1000*(Premissas!$B$33-Premissas!$B$37)</f>
        <v>14375.0000000003</v>
      </c>
      <c r="H43" s="13" t="n">
        <f aca="false">H4*1000*(Premissas!$B$33-Premissas!$B$37)</f>
        <v>14375.0000000003</v>
      </c>
      <c r="I43" s="13" t="n">
        <f aca="false">I4*1000*(Premissas!$B$33-Premissas!$B$37)</f>
        <v>14375.0000000003</v>
      </c>
      <c r="J43" s="13" t="n">
        <f aca="false">J4*1000*(Premissas!$B$33-Premissas!$B$37)</f>
        <v>14375.0000000003</v>
      </c>
      <c r="K43" s="13" t="n">
        <f aca="false">K4*1000*(Premissas!$B$33-Premissas!$B$37)</f>
        <v>14375.0000000003</v>
      </c>
      <c r="L43" s="13" t="n">
        <f aca="false">L4*1000*(Premissas!$B$33-Premissas!$B$37)</f>
        <v>14375.0000000003</v>
      </c>
      <c r="M43" s="13" t="n">
        <f aca="false">M4*1000*(Premissas!$B$33-Premissas!$B$37)</f>
        <v>14375.0000000003</v>
      </c>
      <c r="N43" s="13" t="n">
        <f aca="false">N4*1000*(Premissas!$B$33-Premissas!$B$37)</f>
        <v>14375.0000000003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189</v>
      </c>
    </row>
    <row r="3" customFormat="false" ht="15" hidden="false" customHeight="false" outlineLevel="0" collapsed="false">
      <c r="A3" s="3" t="s">
        <v>190</v>
      </c>
      <c r="B3" s="3" t="s">
        <v>9</v>
      </c>
    </row>
    <row r="4" customFormat="false" ht="15" hidden="false" customHeight="false" outlineLevel="0" collapsed="false">
      <c r="A4" s="2" t="s">
        <v>191</v>
      </c>
      <c r="B4" s="15" t="n">
        <f aca="false">Premissas!$B$14</f>
        <v>3831560</v>
      </c>
    </row>
    <row r="5" customFormat="false" ht="15" hidden="false" customHeight="false" outlineLevel="0" collapsed="false">
      <c r="A5" s="2" t="s">
        <v>192</v>
      </c>
      <c r="B5" s="15" t="n">
        <f aca="false">Premissas!$B$15</f>
        <v>2000000</v>
      </c>
    </row>
    <row r="6" customFormat="false" ht="15" hidden="false" customHeight="false" outlineLevel="0" collapsed="false">
      <c r="A6" s="2" t="s">
        <v>193</v>
      </c>
      <c r="B6" s="15" t="n">
        <f aca="false">Premissas!$B$14-Premissas!$B$15</f>
        <v>1831560</v>
      </c>
    </row>
    <row r="7" customFormat="false" ht="15" hidden="false" customHeight="false" outlineLevel="0" collapsed="false">
      <c r="A7" s="2" t="s">
        <v>194</v>
      </c>
      <c r="B7" s="15" t="n">
        <f aca="false">Premissas!$B$60</f>
        <v>600000</v>
      </c>
    </row>
    <row r="8" customFormat="false" ht="15" hidden="false" customHeight="false" outlineLevel="0" collapsed="false">
      <c r="A8" s="2" t="s">
        <v>195</v>
      </c>
      <c r="B8" s="15" t="n">
        <f aca="false">Premissas!$B$15+Premissas!$B$60</f>
        <v>2600000</v>
      </c>
    </row>
    <row r="9" customFormat="false" ht="15" hidden="false" customHeight="false" outlineLevel="0" collapsed="false">
      <c r="A9" s="2" t="s">
        <v>196</v>
      </c>
      <c r="B9" s="21" t="n">
        <f aca="false">Premissas!$B$16</f>
        <v>0.1</v>
      </c>
    </row>
    <row r="10" customFormat="false" ht="15" hidden="false" customHeight="false" outlineLevel="0" collapsed="false">
      <c r="A10" s="2" t="s">
        <v>197</v>
      </c>
      <c r="B10" s="22" t="n">
        <f aca="false">Fluxo!E4</f>
        <v>250</v>
      </c>
    </row>
    <row r="11" customFormat="false" ht="15" hidden="false" customHeight="false" outlineLevel="0" collapsed="false">
      <c r="A11" s="2" t="s">
        <v>198</v>
      </c>
      <c r="B11" s="15" t="n">
        <f aca="false">Fluxo!E12</f>
        <v>6259675</v>
      </c>
    </row>
    <row r="12" customFormat="false" ht="15" hidden="false" customHeight="false" outlineLevel="0" collapsed="false">
      <c r="A12" s="2" t="s">
        <v>199</v>
      </c>
      <c r="B12" s="15" t="n">
        <f aca="false">Fluxo!E26</f>
        <v>1122686.554</v>
      </c>
    </row>
    <row r="13" customFormat="false" ht="15" hidden="false" customHeight="false" outlineLevel="0" collapsed="false">
      <c r="A13" s="2" t="s">
        <v>200</v>
      </c>
      <c r="B13" s="23" t="n">
        <f aca="false">Fluxo!E27</f>
        <v>0.179352211416727</v>
      </c>
    </row>
    <row r="14" customFormat="false" ht="15" hidden="false" customHeight="false" outlineLevel="0" collapsed="false">
      <c r="A14" s="2" t="s">
        <v>201</v>
      </c>
      <c r="B14" s="24" t="n">
        <f aca="false">Premissas!$B$33</f>
        <v>12.0575</v>
      </c>
    </row>
    <row r="15" customFormat="false" ht="15" hidden="false" customHeight="false" outlineLevel="0" collapsed="false">
      <c r="A15" s="2" t="s">
        <v>202</v>
      </c>
      <c r="B15" s="15" t="n">
        <f aca="false">-Fluxo!E15</f>
        <v>3014375</v>
      </c>
    </row>
    <row r="16" customFormat="false" ht="15" hidden="false" customHeight="false" outlineLevel="0" collapsed="false">
      <c r="A16" s="2" t="s">
        <v>203</v>
      </c>
      <c r="B16" s="15" t="n">
        <f aca="false">Fluxo!E35</f>
        <v>150718.75</v>
      </c>
    </row>
    <row r="17" customFormat="false" ht="15" hidden="false" customHeight="false" outlineLevel="0" collapsed="false">
      <c r="A17" s="2" t="s">
        <v>204</v>
      </c>
      <c r="B17" s="19" t="n">
        <f aca="false">MIN(Fluxo!C37:N37)</f>
        <v>2.49687314509804</v>
      </c>
    </row>
    <row r="18" customFormat="false" ht="15" hidden="false" customHeight="false" outlineLevel="0" collapsed="false">
      <c r="A18" s="2" t="s">
        <v>205</v>
      </c>
      <c r="B18" s="25" t="n">
        <f aca="false">MATCH(MIN(Fluxo!C37:N37),Fluxo!C37:N37,0)</f>
        <v>5</v>
      </c>
    </row>
    <row r="19" customFormat="false" ht="15" hidden="false" customHeight="false" outlineLevel="0" collapsed="false">
      <c r="A19" s="2" t="s">
        <v>206</v>
      </c>
      <c r="B19" s="19" t="n">
        <f aca="false">AVERAGE(Fluxo!G37:N37)</f>
        <v>3.07124395799403</v>
      </c>
    </row>
    <row r="20" customFormat="false" ht="15" hidden="false" customHeight="false" outlineLevel="0" collapsed="false">
      <c r="A20" s="2" t="s">
        <v>207</v>
      </c>
      <c r="B20" s="19" t="n">
        <f aca="false">MIN(Fluxo!C38:N38)</f>
        <v>2.20134618431372</v>
      </c>
    </row>
    <row r="21" customFormat="false" ht="15" hidden="false" customHeight="false" outlineLevel="0" collapsed="false">
      <c r="A21" s="2" t="s">
        <v>208</v>
      </c>
      <c r="B21" s="23" t="n">
        <f aca="false">IRR(Fluxo!B41:N41)</f>
        <v>0.252231331899097</v>
      </c>
    </row>
    <row r="22" customFormat="false" ht="15" hidden="false" customHeight="false" outlineLevel="0" collapsed="false">
      <c r="A22" s="2" t="s">
        <v>209</v>
      </c>
      <c r="B22" s="15" t="n">
        <f aca="false">NPV(Premissas!$B$64,Fluxo!C41:N41)+Fluxo!B41</f>
        <v>3453721.51084739</v>
      </c>
    </row>
    <row r="23" customFormat="false" ht="15" hidden="false" customHeight="false" outlineLevel="0" collapsed="false">
      <c r="A23" s="2" t="s">
        <v>210</v>
      </c>
      <c r="B23" s="23" t="n">
        <f aca="false">IFERROR(IRR(Fluxo!B42:N42),"negativa")</f>
        <v>0.352637253666285</v>
      </c>
    </row>
    <row r="24" customFormat="false" ht="15" hidden="false" customHeight="false" outlineLevel="0" collapsed="false">
      <c r="A24" s="2" t="s">
        <v>211</v>
      </c>
      <c r="B24" s="15" t="n">
        <f aca="false">SUM(Fluxo!C43:N43)</f>
        <v>169625.000000003</v>
      </c>
    </row>
    <row r="25" customFormat="false" ht="15" hidden="false" customHeight="false" outlineLevel="0" collapsed="false">
      <c r="A25" s="2" t="s">
        <v>212</v>
      </c>
      <c r="B25" s="25" t="n">
        <f aca="false">Pessoal!C14</f>
        <v>10</v>
      </c>
    </row>
    <row r="26" customFormat="false" ht="15" hidden="false" customHeight="false" outlineLevel="0" collapsed="false">
      <c r="A26" s="2" t="s">
        <v>213</v>
      </c>
      <c r="B26" s="24" t="n">
        <f aca="false">Fluxo!H40*0.85/(Fluxo!H4*1000)</f>
        <v>2.0808821236</v>
      </c>
    </row>
    <row r="27" customFormat="false" ht="15" hidden="false" customHeight="false" outlineLevel="0" collapsed="false">
      <c r="A27" s="2" t="s">
        <v>214</v>
      </c>
      <c r="B27" s="24" t="n">
        <f aca="false">Premissas!$B$33+B26</f>
        <v>14.1383821236</v>
      </c>
    </row>
    <row r="28" customFormat="false" ht="15" hidden="false" customHeight="false" outlineLevel="0" collapsed="false">
      <c r="A28" s="2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216</v>
      </c>
    </row>
    <row r="3" customFormat="false" ht="15" hidden="false" customHeight="false" outlineLevel="0" collapsed="false">
      <c r="A3" s="3" t="s">
        <v>217</v>
      </c>
      <c r="B3" s="3" t="s">
        <v>218</v>
      </c>
      <c r="C3" s="3" t="s">
        <v>219</v>
      </c>
    </row>
    <row r="4" customFormat="false" ht="15" hidden="false" customHeight="false" outlineLevel="0" collapsed="false">
      <c r="A4" s="0" t="s">
        <v>220</v>
      </c>
      <c r="B4" s="13" t="n">
        <f aca="false">-Fluxo!E15</f>
        <v>3014375</v>
      </c>
      <c r="C4" s="12" t="s">
        <v>221</v>
      </c>
    </row>
    <row r="5" customFormat="false" ht="15" hidden="false" customHeight="false" outlineLevel="0" collapsed="false">
      <c r="A5" s="0" t="s">
        <v>222</v>
      </c>
      <c r="B5" s="13" t="n">
        <f aca="false">B4*0.4929</f>
        <v>1485785.4375</v>
      </c>
      <c r="C5" s="12" t="s">
        <v>223</v>
      </c>
    </row>
    <row r="6" customFormat="false" ht="15" hidden="false" customHeight="false" outlineLevel="0" collapsed="false">
      <c r="A6" s="0" t="s">
        <v>224</v>
      </c>
      <c r="B6" s="13" t="n">
        <f aca="false">-B5*(1-Premissas!$B$27)</f>
        <v>-594314.175</v>
      </c>
      <c r="C6" s="12" t="s">
        <v>225</v>
      </c>
    </row>
    <row r="7" customFormat="false" ht="15" hidden="false" customHeight="false" outlineLevel="0" collapsed="false">
      <c r="A7" s="0" t="s">
        <v>226</v>
      </c>
      <c r="B7" s="13" t="n">
        <f aca="false">B5+B6</f>
        <v>891471.2625</v>
      </c>
    </row>
    <row r="8" customFormat="false" ht="15" hidden="false" customHeight="false" outlineLevel="0" collapsed="false">
      <c r="A8" s="0" t="s">
        <v>227</v>
      </c>
      <c r="B8" s="13" t="n">
        <f aca="false">-B7*0.28</f>
        <v>-249611.9535</v>
      </c>
      <c r="C8" s="12" t="s">
        <v>228</v>
      </c>
    </row>
    <row r="9" customFormat="false" ht="15" hidden="false" customHeight="false" outlineLevel="0" collapsed="false">
      <c r="A9" s="0" t="s">
        <v>229</v>
      </c>
      <c r="B9" s="13" t="n">
        <f aca="false">B7+B8</f>
        <v>641859.309</v>
      </c>
      <c r="C9" s="12" t="s">
        <v>230</v>
      </c>
    </row>
    <row r="10" customFormat="false" ht="15" hidden="false" customHeight="false" outlineLevel="0" collapsed="false">
      <c r="A10" s="0" t="s">
        <v>231</v>
      </c>
      <c r="B10" s="13" t="n">
        <f aca="false">Premissas!$B$60</f>
        <v>600000</v>
      </c>
      <c r="C10" s="12" t="s">
        <v>232</v>
      </c>
    </row>
    <row r="11" customFormat="false" ht="15" hidden="false" customHeight="false" outlineLevel="0" collapsed="false">
      <c r="A11" s="0" t="s">
        <v>233</v>
      </c>
      <c r="B11" s="13" t="n">
        <f aca="false">B9-B10</f>
        <v>41859.309</v>
      </c>
      <c r="C11" s="12" t="s">
        <v>234</v>
      </c>
    </row>
    <row r="12" customFormat="false" ht="15" hidden="false" customHeight="false" outlineLevel="0" collapsed="false">
      <c r="A12" s="0" t="s">
        <v>235</v>
      </c>
      <c r="B12" s="13" t="n">
        <f aca="false">Premissas!$B$60*Premissas!$B$16</f>
        <v>60000</v>
      </c>
      <c r="C12" s="1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237</v>
      </c>
    </row>
    <row r="3" customFormat="false" ht="28.35" hidden="false" customHeight="false" outlineLevel="0" collapsed="false">
      <c r="A3" s="3" t="s">
        <v>238</v>
      </c>
      <c r="B3" s="3" t="s">
        <v>239</v>
      </c>
      <c r="C3" s="3" t="s">
        <v>240</v>
      </c>
      <c r="D3" s="3" t="s">
        <v>241</v>
      </c>
      <c r="E3" s="3" t="s">
        <v>242</v>
      </c>
      <c r="F3" s="3" t="s">
        <v>243</v>
      </c>
      <c r="G3" s="3" t="s">
        <v>244</v>
      </c>
    </row>
    <row r="4" customFormat="false" ht="15" hidden="false" customHeight="false" outlineLevel="0" collapsed="false">
      <c r="A4" s="2" t="s">
        <v>245</v>
      </c>
      <c r="B4" s="26" t="n">
        <v>2.4969</v>
      </c>
      <c r="C4" s="2" t="n">
        <v>5</v>
      </c>
      <c r="D4" s="26" t="n">
        <v>2.2013</v>
      </c>
      <c r="E4" s="27" t="n">
        <v>0.2522</v>
      </c>
      <c r="F4" s="27" t="n">
        <v>0.3526</v>
      </c>
      <c r="G4" s="8" t="n">
        <v>1122686.554</v>
      </c>
    </row>
    <row r="5" customFormat="false" ht="15" hidden="false" customHeight="false" outlineLevel="0" collapsed="false">
      <c r="A5" s="14" t="s">
        <v>246</v>
      </c>
      <c r="B5" s="19" t="n">
        <v>1.5108</v>
      </c>
      <c r="C5" s="14" t="n">
        <v>5</v>
      </c>
      <c r="D5" s="19" t="n">
        <v>1.2743</v>
      </c>
      <c r="E5" s="23" t="n">
        <v>0.1158</v>
      </c>
      <c r="F5" s="23" t="n">
        <v>0.0795</v>
      </c>
      <c r="G5" s="15" t="n">
        <v>649912.004</v>
      </c>
    </row>
    <row r="6" customFormat="false" ht="15" hidden="false" customHeight="false" outlineLevel="0" collapsed="false">
      <c r="A6" s="2" t="s">
        <v>247</v>
      </c>
      <c r="B6" s="26" t="n">
        <v>1.6519</v>
      </c>
      <c r="C6" s="2" t="n">
        <v>5</v>
      </c>
      <c r="D6" s="26" t="n">
        <v>1.4155</v>
      </c>
      <c r="E6" s="27" t="n">
        <v>0.1385</v>
      </c>
      <c r="F6" s="27" t="n">
        <v>0.1292</v>
      </c>
      <c r="G6" s="8" t="n">
        <v>721892.004</v>
      </c>
    </row>
    <row r="7" customFormat="false" ht="15" hidden="false" customHeight="false" outlineLevel="0" collapsed="false">
      <c r="A7" s="2" t="s">
        <v>248</v>
      </c>
      <c r="B7" s="26" t="n">
        <v>1.6306</v>
      </c>
      <c r="C7" s="2" t="n">
        <v>5</v>
      </c>
      <c r="D7" s="26" t="n">
        <v>1.3913</v>
      </c>
      <c r="E7" s="27" t="n">
        <v>0.1347</v>
      </c>
      <c r="F7" s="27" t="n">
        <v>0.1211</v>
      </c>
      <c r="G7" s="8" t="n">
        <v>709540.7315</v>
      </c>
    </row>
    <row r="8" customFormat="false" ht="15" hidden="false" customHeight="false" outlineLevel="0" collapsed="false">
      <c r="A8" s="2" t="s">
        <v>249</v>
      </c>
      <c r="B8" s="26" t="n">
        <v>2.2196</v>
      </c>
      <c r="C8" s="2" t="n">
        <v>5</v>
      </c>
      <c r="D8" s="26" t="n">
        <v>1.9569</v>
      </c>
      <c r="E8" s="27" t="n">
        <v>0.2522</v>
      </c>
      <c r="F8" s="27" t="n">
        <v>0.3165</v>
      </c>
      <c r="G8" s="8" t="n">
        <v>1122686.554</v>
      </c>
    </row>
    <row r="9" customFormat="false" ht="15" hidden="false" customHeight="false" outlineLevel="0" collapsed="false">
      <c r="A9" s="2" t="s">
        <v>250</v>
      </c>
      <c r="B9" s="26" t="n">
        <v>2.8367</v>
      </c>
      <c r="C9" s="2" t="n">
        <v>5</v>
      </c>
      <c r="D9" s="26" t="n">
        <v>2.501</v>
      </c>
      <c r="E9" s="27" t="n">
        <v>0.2522</v>
      </c>
      <c r="F9" s="27" t="n">
        <v>0.3881</v>
      </c>
      <c r="G9" s="8" t="n">
        <v>1122686.554</v>
      </c>
    </row>
    <row r="10" customFormat="false" ht="15" hidden="false" customHeight="false" outlineLevel="0" collapsed="false">
      <c r="A10" s="2" t="s">
        <v>251</v>
      </c>
      <c r="B10" s="26" t="n">
        <v>1.2946</v>
      </c>
      <c r="C10" s="2" t="n">
        <v>5</v>
      </c>
      <c r="D10" s="26" t="n">
        <v>0.8899</v>
      </c>
      <c r="E10" s="27" t="n">
        <v>0.0679</v>
      </c>
      <c r="F10" s="27" t="n">
        <v>-0.0446</v>
      </c>
      <c r="G10" s="8" t="n">
        <v>509524.054</v>
      </c>
    </row>
    <row r="11" customFormat="false" ht="15" hidden="false" customHeight="false" outlineLevel="0" collapsed="false">
      <c r="A11" s="2" t="s">
        <v>252</v>
      </c>
      <c r="B11" s="26" t="n">
        <v>2.4673</v>
      </c>
      <c r="C11" s="2" t="n">
        <v>5</v>
      </c>
      <c r="D11" s="26" t="n">
        <v>2.1717</v>
      </c>
      <c r="E11" s="27" t="n">
        <v>0.1992</v>
      </c>
      <c r="F11" s="27" t="n">
        <v>0.2367</v>
      </c>
      <c r="G11" s="8" t="n">
        <v>1107588.186</v>
      </c>
    </row>
    <row r="13" customFormat="false" ht="15" hidden="false" customHeight="false" outlineLevel="0" collapsed="false">
      <c r="A13" s="2" t="s">
        <v>253</v>
      </c>
    </row>
    <row r="14" customFormat="false" ht="15" hidden="false" customHeight="false" outlineLevel="0" collapsed="false">
      <c r="A14" s="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2026-09-30T04:12:08Z</dcterms:created>
  <dc:creator>openpyxl</dc:creator>
  <dc:description/>
  <dc:language>en-US</dc:language>
  <cp:lastModifiedBy/>
  <dcterms:modified xsi:type="dcterms:W3CDTF">2026-10-07T04:27:02Z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