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Pessoal" sheetId="3" state="visible" r:id="rId3"/>
    <sheet xmlns:r="http://schemas.openxmlformats.org/officeDocument/2006/relationships" name="Fluxo" sheetId="4" state="visible" r:id="rId4"/>
    <sheet xmlns:r="http://schemas.openxmlformats.org/officeDocument/2006/relationships" name="Resumo" sheetId="5" state="visible" r:id="rId5"/>
    <sheet xmlns:r="http://schemas.openxmlformats.org/officeDocument/2006/relationships" name="Giro" sheetId="6" state="visible" r:id="rId6"/>
    <sheet xmlns:r="http://schemas.openxmlformats.org/officeDocument/2006/relationships" name="Cenarios_BNB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&quot; t&quot;"/>
  </numFmts>
  <fonts count="7">
    <font>
      <name val="Calibri"/>
      <family val="2"/>
      <color theme="1"/>
      <sz val="11"/>
      <scheme val="minor"/>
    </font>
    <font>
      <name val="Georgia"/>
      <b val="1"/>
      <color rgb="000A0E1A"/>
      <sz val="14"/>
    </font>
    <font>
      <name val="Georgia"/>
      <b val="1"/>
      <color rgb="00FFFFFF"/>
      <sz val="11"/>
    </font>
    <font>
      <name val="Georgia"/>
      <b val="1"/>
      <color rgb="00FFFFFF"/>
    </font>
    <font>
      <name val="Inter"/>
    </font>
    <font>
      <name val="Inter"/>
      <color rgb="000000CC"/>
    </font>
    <font>
      <name val="Inter"/>
      <b val="1"/>
    </font>
  </fonts>
  <fills count="4">
    <fill>
      <patternFill/>
    </fill>
    <fill>
      <patternFill patternType="gray125"/>
    </fill>
    <fill>
      <patternFill patternType="solid">
        <fgColor rgb="000A0E1A"/>
      </patternFill>
    </fill>
    <fill>
      <patternFill patternType="solid">
        <fgColor rgb="00004B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" fontId="5" fillId="0" borderId="0" pivotButton="0" quotePrefix="0" xfId="0"/>
    <xf numFmtId="4" fontId="4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6" fontId="6" fillId="0" borderId="0" pivotButton="0" quotePrefix="0" xfId="0"/>
    <xf numFmtId="166" fontId="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4" fontId="6" fillId="0" borderId="0" pivotButton="0" quotePrefix="0" xfId="0"/>
    <xf numFmtId="1" fontId="6" fillId="0" borderId="0" pivotButton="0" quotePrefix="0" xfId="0"/>
    <xf numFmtId="166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MHBV-02A · Modelo Financeiro da Cooperativa · MHBV 011026 (01/10/2026) (Entreposto Regional)</t>
        </is>
      </c>
    </row>
    <row r="2">
      <c r="A2" s="2" t="inlineStr"/>
    </row>
    <row r="3">
      <c r="A3" s="2" t="inlineStr">
        <is>
          <t>Modelo do Entreposto Regional: 350 t de capacidade, 250 t de regime, Crédito Híbrido FNE (investimento + giro renovável) + capital próprio.</t>
        </is>
      </c>
    </row>
    <row r="4">
      <c r="A4" s="2" t="inlineStr">
        <is>
          <t>Azul = premissa editável (aba Premissas). Preto = fórmula. Tudo recalcula sozinho.</t>
        </is>
      </c>
    </row>
    <row r="5">
      <c r="A5" s="2" t="inlineStr">
        <is>
          <t>Cobertura da dívida = (EBITDA + retenção de 5%) ÷ (juros + amortização do FNE investimento + juros do FNE giro).</t>
        </is>
      </c>
    </row>
    <row r="6">
      <c r="A6" s="2" t="inlineStr">
        <is>
          <t>FNE giro renovável a cada safra: só os juros entram no serviço da dívida; o principal volta com a venda do estoque (CONFIRMAR COM BNB).</t>
        </is>
      </c>
    </row>
    <row r="7">
      <c r="A7" s="2" t="inlineStr">
        <is>
          <t>Itens marcados ESTIMATIVA ou PREMISSA precisam de cotação/orçamento real antes do protocolo no BNB.</t>
        </is>
      </c>
    </row>
    <row r="8">
      <c r="A8" s="2" t="inlineStr">
        <is>
          <t>Abas: Premissas · Pessoal · Fluxo · Resumo · Giro · Cenarios_BNB.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4" customWidth="1" min="3" max="3"/>
    <col width="90" customWidth="1" min="4" max="4"/>
  </cols>
  <sheetData>
    <row r="1">
      <c r="A1" s="1" t="inlineStr">
        <is>
          <t>PREMISSAS · Entreposto Regional MEL-HORANDO (MHBV-02A · MHBV 011026 (01/10/2026))</t>
        </is>
      </c>
    </row>
    <row r="2"/>
    <row r="3">
      <c r="A3" s="3" t="inlineStr">
        <is>
          <t>Premissa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Fonte / observação</t>
        </is>
      </c>
    </row>
    <row r="4"/>
    <row r="5">
      <c r="A5" s="4" t="inlineStr">
        <is>
          <t>CHAVES DE CENÁRIO (sensibilidade)</t>
        </is>
      </c>
      <c r="B5" s="5" t="n"/>
      <c r="C5" s="5" t="n"/>
      <c r="D5" s="5" t="n"/>
    </row>
    <row r="6">
      <c r="A6" s="2" t="inlineStr">
        <is>
          <t>Fator sobre o preço do mel (venda e, por indexação, preço ao cooperado)</t>
        </is>
      </c>
      <c r="B6" s="6" t="n">
        <v>1</v>
      </c>
      <c r="C6" s="2" t="inlineStr">
        <is>
          <t>×</t>
        </is>
      </c>
      <c r="D6" s="2" t="inlineStr">
        <is>
          <t>1,00 = base; 0,80 = mel −20%.</t>
        </is>
      </c>
    </row>
    <row r="7">
      <c r="A7" s="2" t="inlineStr">
        <is>
          <t>Fator sobre o volume recebido</t>
        </is>
      </c>
      <c r="B7" s="6" t="n">
        <v>1</v>
      </c>
      <c r="C7" s="2" t="inlineStr">
        <is>
          <t>×</t>
        </is>
      </c>
      <c r="D7" s="2" t="inlineStr">
        <is>
          <t>1,00 = base.</t>
        </is>
      </c>
    </row>
    <row r="8">
      <c r="A8" s="2" t="inlineStr">
        <is>
          <t>Fator sobre o investimento</t>
        </is>
      </c>
      <c r="B8" s="6" t="n">
        <v>1</v>
      </c>
      <c r="C8" s="2" t="inlineStr">
        <is>
          <t>×</t>
        </is>
      </c>
      <c r="D8" s="2" t="inlineStr">
        <is>
          <t>1,00 = base.</t>
        </is>
      </c>
    </row>
    <row r="9"/>
    <row r="10">
      <c r="A10" s="4" t="inlineStr">
        <is>
          <t>INVESTIMENTO E FINANCIAMENTO</t>
        </is>
      </c>
      <c r="B10" s="5" t="n"/>
      <c r="C10" s="5" t="n"/>
      <c r="D10" s="5" t="n"/>
    </row>
    <row r="11">
      <c r="A11" s="2" t="inlineStr">
        <is>
          <t>Obras civis (~550 m², fluxo em 1 direção – Port. SDA/MAPA 795/2023)</t>
        </is>
      </c>
      <c r="B11" s="7" t="n">
        <v>1300000</v>
      </c>
      <c r="C11" s="2" t="inlineStr">
        <is>
          <t>R$</t>
        </is>
      </c>
      <c r="D11" s="2" t="inlineStr">
        <is>
          <t>Validado pela varredura: R$ 2.125–2.413/m² no orçamento anterior (sem BDI). Substituir pelo projeto executivo (fev/2027).</t>
        </is>
      </c>
    </row>
    <row r="12">
      <c r="A12" s="2" t="inlineStr">
        <is>
          <t>Equipamentos de processo + laboratório local (IN MAPA 11/2000)</t>
        </is>
      </c>
      <c r="B12" s="7" t="n">
        <v>1690000</v>
      </c>
      <c r="C12" s="2" t="inlineStr">
        <is>
          <t>R$</t>
        </is>
      </c>
      <c r="D12" s="2" t="inlineStr">
        <is>
          <t>Preços unitários do projeto técnico anterior (1 linha + envase de sachê + lab básico), sem cotação. Validar com 3 orçamentos por item.</t>
        </is>
      </c>
    </row>
    <row r="13">
      <c r="A13" s="2" t="inlineStr">
        <is>
          <t>Projetos, licenças, instalação e imprevistos</t>
        </is>
      </c>
      <c r="B13" s="7" t="n">
        <v>300000</v>
      </c>
      <c r="C13" s="2" t="inlineStr">
        <is>
          <t>R$</t>
        </is>
      </c>
      <c r="D13" s="2" t="inlineStr">
        <is>
          <t>ESTIMATIVA (≈ 12%).</t>
        </is>
      </c>
    </row>
    <row r="14">
      <c r="A14" s="2" t="inlineStr">
        <is>
          <t>Investimento total no cenário</t>
        </is>
      </c>
      <c r="B14" s="8">
        <f>(Premissas!$B$11+Premissas!$B$12+Premissas!$B$13)*Premissas!$B$8</f>
        <v/>
      </c>
      <c r="C14" s="2" t="inlineStr">
        <is>
          <t>R$</t>
        </is>
      </c>
      <c r="D14" s="2" t="inlineStr">
        <is>
          <t>Fórmula. Base = R$ 3,29 mi.</t>
        </is>
      </c>
    </row>
    <row r="15">
      <c r="A15" s="2" t="inlineStr">
        <is>
          <t>FNE investimento (Coopera)</t>
        </is>
      </c>
      <c r="B15" s="8">
        <f>MIN(2000000,Premissas!$B$14*0.8)</f>
        <v/>
      </c>
      <c r="C15" s="2" t="inlineStr">
        <is>
          <t>R$</t>
        </is>
      </c>
      <c r="D15" s="2" t="inlineStr">
        <is>
          <t>Pleito: R$ 2,0 mi (≈61%). Contrapartida R$ 1,29 mi.</t>
        </is>
      </c>
    </row>
    <row r="16">
      <c r="A16" s="2" t="inlineStr">
        <is>
          <t>Taxa de juros FNE</t>
        </is>
      </c>
      <c r="B16" s="9" t="n">
        <v>0.1</v>
      </c>
      <c r="C16" s="2" t="inlineStr">
        <is>
          <t>% a.a.</t>
        </is>
      </c>
      <c r="D16" s="2" t="inlineStr">
        <is>
          <t>Premissa: meio da faixa 7,65%–12,45% a.a. CONFIRMAR COM BNB.</t>
        </is>
      </c>
    </row>
    <row r="17">
      <c r="A17" s="2" t="inlineStr">
        <is>
          <t>Prazo total FNE investimento</t>
        </is>
      </c>
      <c r="B17" s="6" t="n">
        <v>12</v>
      </c>
      <c r="C17" s="2" t="inlineStr">
        <is>
          <t>anos</t>
        </is>
      </c>
      <c r="D17" s="2" t="inlineStr">
        <is>
          <t>FNE Coopera – investimento fixo: até 12 anos (bnb.gov.br).</t>
        </is>
      </c>
    </row>
    <row r="18">
      <c r="A18" s="2" t="inlineStr">
        <is>
          <t>Carência (só juros)</t>
        </is>
      </c>
      <c r="B18" s="6" t="n">
        <v>4</v>
      </c>
      <c r="C18" s="2" t="inlineStr">
        <is>
          <t>anos</t>
        </is>
      </c>
      <c r="D18" s="2" t="inlineStr">
        <is>
          <t>Até 4 anos.</t>
        </is>
      </c>
    </row>
    <row r="19">
      <c r="A19" s="2" t="inlineStr">
        <is>
          <t>Fração de ano de juros durante a obra (ano 0)</t>
        </is>
      </c>
      <c r="B19" s="6" t="n">
        <v>0.5</v>
      </c>
      <c r="C19" s="2" t="inlineStr">
        <is>
          <t>ano</t>
        </is>
      </c>
      <c r="D19" s="2" t="inlineStr">
        <is>
          <t>Liberação em parcelas.</t>
        </is>
      </c>
    </row>
    <row r="20"/>
    <row r="21">
      <c r="A21" s="4" t="inlineStr">
        <is>
          <t>VOLUME (t de mel recebidas dos cooperados)</t>
        </is>
      </c>
      <c r="B21" s="5" t="n"/>
      <c r="C21" s="5" t="n"/>
      <c r="D21" s="5" t="n"/>
    </row>
    <row r="22">
      <c r="A22" s="2" t="inlineStr">
        <is>
          <t>Capacidade instalada</t>
        </is>
      </c>
      <c r="B22" s="6" t="n">
        <v>350</v>
      </c>
      <c r="C22" s="2" t="inlineStr">
        <is>
          <t>t/ano</t>
        </is>
      </c>
      <c r="D22" s="2" t="inlineStr">
        <is>
          <t>Projeto do entreposto.</t>
        </is>
      </c>
    </row>
    <row r="23">
      <c r="A23" s="2" t="inlineStr">
        <is>
          <t>Volume ano 1 da planta</t>
        </is>
      </c>
      <c r="B23" s="6" t="n">
        <v>200</v>
      </c>
      <c r="C23" s="2" t="inlineStr">
        <is>
          <t>t</t>
        </is>
      </c>
      <c r="D23" s="2" t="inlineStr">
        <is>
          <t>Piloto SIE (Fase 0, imóvel locado): 150 t (2027) → 200 t (2028). Planta abre na transição.</t>
        </is>
      </c>
    </row>
    <row r="24">
      <c r="A24" s="2" t="inlineStr">
        <is>
          <t>Volume ano 2 da planta</t>
        </is>
      </c>
      <c r="B24" s="6" t="n">
        <v>250</v>
      </c>
      <c r="C24" s="2" t="inlineStr">
        <is>
          <t>t</t>
        </is>
      </c>
      <c r="D24" s="2" t="inlineStr">
        <is>
          <t>Regime (250 t) a partir do ano 2 da planta = ano 3 desde o início do piloto.</t>
        </is>
      </c>
    </row>
    <row r="25">
      <c r="A25" s="2" t="inlineStr">
        <is>
          <t>Volume ano 3 em diante</t>
        </is>
      </c>
      <c r="B25" s="6" t="n">
        <v>250</v>
      </c>
      <c r="C25" s="2" t="inlineStr">
        <is>
          <t>t</t>
        </is>
      </c>
      <c r="D25" s="2" t="inlineStr">
        <is>
          <t>IBGE/PPM 2024: 9 municípios atuais do Estatuto = 329,5 t; Boa Viagem + 16 = 521 t (lista dos 8 restantes a fixar na Assembleia de Constituição).</t>
        </is>
      </c>
    </row>
    <row r="26">
      <c r="A26" s="2" t="inlineStr">
        <is>
          <t>Perda de processo (filtração, borra, amostras)</t>
        </is>
      </c>
      <c r="B26" s="9" t="n">
        <v>0.015</v>
      </c>
      <c r="C26" s="2" t="inlineStr">
        <is>
          <t>%</t>
        </is>
      </c>
      <c r="D26" s="2" t="inlineStr">
        <is>
          <t>Premissa técnica; validar com o RT.</t>
        </is>
      </c>
    </row>
    <row r="27">
      <c r="A27" s="2" t="inlineStr">
        <is>
          <t>Parcela vendida em sachê (400 g / 700 g / 1,4 kg)</t>
        </is>
      </c>
      <c r="B27" s="9" t="n">
        <v>0.6</v>
      </c>
      <c r="C27" s="2" t="inlineStr">
        <is>
          <t>%</t>
        </is>
      </c>
      <c r="D27" s="2" t="inlineStr">
        <is>
          <t>Mix 60% sachê / 40% granel.</t>
        </is>
      </c>
    </row>
    <row r="28"/>
    <row r="29">
      <c r="A29" s="4" t="inlineStr">
        <is>
          <t>PREÇOS (R$/kg)</t>
        </is>
      </c>
      <c r="B29" s="5" t="n"/>
      <c r="C29" s="5" t="n"/>
      <c r="D29" s="5" t="n"/>
    </row>
    <row r="30">
      <c r="A30" s="2" t="inlineStr">
        <is>
          <t>Preço médio do sachê (atacado, sem frete)</t>
        </is>
      </c>
      <c r="B30" s="10" t="n">
        <v>30</v>
      </c>
      <c r="C30" s="2" t="inlineStr">
        <is>
          <t>R$/kg</t>
        </is>
      </c>
      <c r="D30" s="2" t="inlineStr">
        <is>
          <t>PREMISSA A VALIDAR com cartas de intenção de compradores.</t>
        </is>
      </c>
    </row>
    <row r="31">
      <c r="A31" s="2" t="inlineStr">
        <is>
          <t>Preço do granel no mercado interno (índice PAA/Conab-CE)</t>
        </is>
      </c>
      <c r="B31" s="10" t="n">
        <v>18.55</v>
      </c>
      <c r="C31" s="2" t="inlineStr">
        <is>
          <t>R$/kg</t>
        </is>
      </c>
      <c r="D31" s="2" t="inlineStr">
        <is>
          <t>Índice de referência do Regimento (o CEPEA não publica mel). Atualizar na data do protocolo.</t>
        </is>
      </c>
    </row>
    <row r="32">
      <c r="A32" s="2" t="inlineStr">
        <is>
          <t>Percentual pago ao cooperado sobre o granel</t>
        </is>
      </c>
      <c r="B32" s="9" t="n">
        <v>0.65</v>
      </c>
      <c r="C32" s="2" t="inlineStr">
        <is>
          <t>%</t>
        </is>
      </c>
      <c r="D32" s="2" t="inlineStr">
        <is>
          <t>Decisão 30/09/2026: 65% (cobertura ≥ 1,5x com mel −20%). Regimento 00C, item 3.</t>
        </is>
      </c>
    </row>
    <row r="33">
      <c r="A33" s="2" t="inlineStr">
        <is>
          <t>Preço ao cooperado</t>
        </is>
      </c>
      <c r="B33" s="11">
        <f>Premissas!$B$32*Premissas!$B$31*Premissas!$B$6</f>
        <v/>
      </c>
      <c r="C33" s="2" t="inlineStr">
        <is>
          <t>R$/kg</t>
        </is>
      </c>
      <c r="D33" s="2" t="inlineStr">
        <is>
          <t>Fórmula: 65% × 18,55 = R$ 12,06/kg na base.</t>
        </is>
      </c>
    </row>
    <row r="34">
      <c r="A34" s="2" t="inlineStr">
        <is>
          <t>Parte paga na entrega</t>
        </is>
      </c>
      <c r="B34" s="9" t="n">
        <v>0.5</v>
      </c>
      <c r="C34" s="2" t="inlineStr">
        <is>
          <t>%</t>
        </is>
      </c>
      <c r="D34" s="2" t="inlineStr">
        <is>
          <t>Regimento: 50% na entrega.</t>
        </is>
      </c>
    </row>
    <row r="35">
      <c r="A35" s="2" t="inlineStr">
        <is>
          <t>Parte paga em 90 dias</t>
        </is>
      </c>
      <c r="B35" s="9" t="n">
        <v>0.2</v>
      </c>
      <c r="C35" s="2" t="inlineStr">
        <is>
          <t>%</t>
        </is>
      </c>
      <c r="D35" s="2" t="inlineStr">
        <is>
          <t>Regimento: 20% em 90 dias; saldo como sobra no fim do exercício.</t>
        </is>
      </c>
    </row>
    <row r="36">
      <c r="A36" s="2" t="inlineStr">
        <is>
          <t>Retenção de capital sobre o mel entregue</t>
        </is>
      </c>
      <c r="B36" s="9" t="n">
        <v>0.05</v>
      </c>
      <c r="C36" s="2" t="inlineStr">
        <is>
          <t>%</t>
        </is>
      </c>
      <c r="D36" s="2" t="inlineStr">
        <is>
          <t>Cota-parte (Estatuto/Regimento). Fica na Cooperativa.</t>
        </is>
      </c>
    </row>
    <row r="37">
      <c r="A37" s="2" t="inlineStr">
        <is>
          <t>Preço pago pelo atravessador (referência)</t>
        </is>
      </c>
      <c r="B37" s="10" t="n">
        <v>12</v>
      </c>
      <c r="C37" s="2" t="inlineStr">
        <is>
          <t>R$/kg</t>
        </is>
      </c>
      <c r="D37" s="2" t="inlineStr">
        <is>
          <t>Portal LJ, 23/07/2025 ("já chegou a R$ 12"). Só para o indicador social.</t>
        </is>
      </c>
    </row>
    <row r="38"/>
    <row r="39">
      <c r="A39" s="4" t="inlineStr">
        <is>
          <t>CUSTOS VARIÁVEIS</t>
        </is>
      </c>
      <c r="B39" s="5" t="n"/>
      <c r="C39" s="5" t="n"/>
      <c r="D39" s="5" t="n"/>
    </row>
    <row r="40">
      <c r="A40" s="2" t="inlineStr">
        <is>
          <t>Embalagem do sachê (filme, caixa, rótulo)</t>
        </is>
      </c>
      <c r="B40" s="10" t="n">
        <v>1.3</v>
      </c>
      <c r="C40" s="2" t="inlineStr">
        <is>
          <t>R$/kg</t>
        </is>
      </c>
      <c r="D40" s="2" t="inlineStr">
        <is>
          <t>Premissa; cotar.</t>
        </is>
      </c>
    </row>
    <row r="41">
      <c r="A41" s="2" t="inlineStr">
        <is>
          <t>Tambor com verniz sanitário (granel)</t>
        </is>
      </c>
      <c r="B41" s="10" t="n">
        <v>1.2</v>
      </c>
      <c r="C41" s="2" t="inlineStr">
        <is>
          <t>R$/kg</t>
        </is>
      </c>
      <c r="D41" s="2" t="inlineStr">
        <is>
          <t>Premissa.</t>
        </is>
      </c>
    </row>
    <row r="42">
      <c r="A42" s="2" t="inlineStr">
        <is>
          <t>Frete de entrega do sachê</t>
        </is>
      </c>
      <c r="B42" s="9" t="n">
        <v>0.05</v>
      </c>
      <c r="C42" s="2" t="inlineStr">
        <is>
          <t>% rec. sachê</t>
        </is>
      </c>
      <c r="D42" s="2" t="inlineStr">
        <is>
          <t>Premissa (CE; venda só no CE até o SIF).</t>
        </is>
      </c>
    </row>
    <row r="43">
      <c r="A43" s="2" t="inlineStr">
        <is>
          <t>Frete do granel</t>
        </is>
      </c>
      <c r="B43" s="10" t="n">
        <v>0.25</v>
      </c>
      <c r="C43" s="2" t="inlineStr">
        <is>
          <t>R$/kg</t>
        </is>
      </c>
      <c r="D43" s="2" t="inlineStr">
        <is>
          <t>Premissa.</t>
        </is>
      </c>
    </row>
    <row r="44">
      <c r="A44" s="2" t="inlineStr">
        <is>
          <t>Comercial e marketing do sachê</t>
        </is>
      </c>
      <c r="B44" s="9" t="n">
        <v>0.03</v>
      </c>
      <c r="C44" s="2" t="inlineStr">
        <is>
          <t>% rec. sachê</t>
        </is>
      </c>
      <c r="D44" s="2" t="inlineStr">
        <is>
          <t>Premissa.</t>
        </is>
      </c>
    </row>
    <row r="45">
      <c r="A45" s="2" t="inlineStr">
        <is>
          <t>Licença da marca Fiore di Campo</t>
        </is>
      </c>
      <c r="B45" s="9" t="n">
        <v>0.02</v>
      </c>
      <c r="C45" s="2" t="inlineStr">
        <is>
          <t>% rec. sachê</t>
        </is>
      </c>
      <c r="D45" s="2" t="inlineStr">
        <is>
          <t>Parte relacionada: AGE + preço de mercado.</t>
        </is>
      </c>
    </row>
    <row r="46">
      <c r="A46" s="2" t="inlineStr">
        <is>
          <t>Energia e água de processo</t>
        </is>
      </c>
      <c r="B46" s="10" t="n">
        <v>0.1</v>
      </c>
      <c r="C46" s="2" t="inlineStr">
        <is>
          <t>R$/kg</t>
        </is>
      </c>
      <c r="D46" s="2" t="inlineStr">
        <is>
          <t>Premissa.</t>
        </is>
      </c>
    </row>
    <row r="47">
      <c r="A47" s="2" t="inlineStr">
        <is>
          <t>Tributos líquidos sobre vendas</t>
        </is>
      </c>
      <c r="B47" s="9" t="n">
        <v>0.07000000000000001</v>
      </c>
      <c r="C47" s="2" t="inlineStr">
        <is>
          <t>% receita</t>
        </is>
      </c>
      <c r="D47" s="2" t="inlineStr">
        <is>
          <t>PREMISSA A VALIDAR COM CONTADOR (ICMS-CE + PIS/Cofins).</t>
        </is>
      </c>
    </row>
    <row r="48"/>
    <row r="49">
      <c r="A49" s="4" t="inlineStr">
        <is>
          <t>CUSTOS FIXOS</t>
        </is>
      </c>
      <c r="B49" s="5" t="n"/>
      <c r="C49" s="5" t="n"/>
      <c r="D49" s="5" t="n"/>
    </row>
    <row r="50">
      <c r="A50" s="2" t="inlineStr">
        <is>
          <t>Pessoal (aba Pessoal)</t>
        </is>
      </c>
      <c r="B50" s="8">
        <f>Pessoal!F14</f>
        <v/>
      </c>
      <c r="C50" s="2" t="inlineStr">
        <is>
          <t>R$/ano</t>
        </is>
      </c>
      <c r="D50" s="2" t="inlineStr">
        <is>
          <t>Quadro enxuto do entreposto.</t>
        </is>
      </c>
    </row>
    <row r="51">
      <c r="A51" s="2" t="inlineStr">
        <is>
          <t>Responsável Técnico (contrato de prestação de serviço)</t>
        </is>
      </c>
      <c r="B51" s="7" t="n">
        <v>60000</v>
      </c>
      <c r="C51" s="2" t="inlineStr">
        <is>
          <t>R$/ano</t>
        </is>
      </c>
      <c r="D51" s="2" t="inlineStr">
        <is>
          <t>Tabela de cruzamento 29/09: R$ 60 mil/ano.</t>
        </is>
      </c>
    </row>
    <row r="52">
      <c r="A52" s="2" t="inlineStr">
        <is>
          <t>Laboratório externo ISO 17025 (PNCRC, 1 amostra por lote de cooperado)</t>
        </is>
      </c>
      <c r="B52" s="7" t="n">
        <v>40000</v>
      </c>
      <c r="C52" s="2" t="inlineStr">
        <is>
          <t>R$/ano</t>
        </is>
      </c>
      <c r="D52" s="2" t="inlineStr">
        <is>
          <t>Tabela 29/09: R$ 40 mil/ano. Cotação nov/2026.</t>
        </is>
      </c>
    </row>
    <row r="53">
      <c r="A53" s="2" t="inlineStr">
        <is>
          <t>Administrativas (contabilidade, TI, OCB, certificações)</t>
        </is>
      </c>
      <c r="B53" s="7" t="n">
        <v>150000</v>
      </c>
      <c r="C53" s="2" t="inlineStr">
        <is>
          <t>R$/ano</t>
        </is>
      </c>
      <c r="D53" s="2" t="inlineStr">
        <is>
          <t>Premissa.</t>
        </is>
      </c>
    </row>
    <row r="54">
      <c r="A54" s="2" t="inlineStr">
        <is>
          <t>Energia fixa e utilidades</t>
        </is>
      </c>
      <c r="B54" s="7" t="n">
        <v>48000</v>
      </c>
      <c r="C54" s="2" t="inlineStr">
        <is>
          <t>R$/ano</t>
        </is>
      </c>
      <c r="D54" s="2" t="inlineStr">
        <is>
          <t>Premissa.</t>
        </is>
      </c>
    </row>
    <row r="55">
      <c r="A55" s="2" t="inlineStr">
        <is>
          <t>Manutenção de obras civis</t>
        </is>
      </c>
      <c r="B55" s="9" t="n">
        <v>0.01</v>
      </c>
      <c r="C55" s="2" t="inlineStr">
        <is>
          <t>% a.a.</t>
        </is>
      </c>
      <c r="D55" s="2" t="inlineStr">
        <is>
          <t>Premissa.</t>
        </is>
      </c>
    </row>
    <row r="56">
      <c r="A56" s="2" t="inlineStr">
        <is>
          <t>Manutenção de equipamentos</t>
        </is>
      </c>
      <c r="B56" s="9" t="n">
        <v>0.025</v>
      </c>
      <c r="C56" s="2" t="inlineStr">
        <is>
          <t>% a.a.</t>
        </is>
      </c>
      <c r="D56" s="2" t="inlineStr">
        <is>
          <t>Premissa.</t>
        </is>
      </c>
    </row>
    <row r="57">
      <c r="A57" s="2" t="inlineStr">
        <is>
          <t>Seguros</t>
        </is>
      </c>
      <c r="B57" s="9" t="n">
        <v>0.004</v>
      </c>
      <c r="C57" s="2" t="inlineStr">
        <is>
          <t>% a.a. do invest.</t>
        </is>
      </c>
      <c r="D57" s="2" t="inlineStr">
        <is>
          <t>Premissa.</t>
        </is>
      </c>
    </row>
    <row r="58"/>
    <row r="59">
      <c r="A59" s="4" t="inlineStr">
        <is>
          <t>GIRO, DEPRECIAÇÃO, SOBRAS</t>
        </is>
      </c>
      <c r="B59" s="5" t="n"/>
      <c r="C59" s="5" t="n"/>
      <c r="D59" s="5" t="n"/>
    </row>
    <row r="60">
      <c r="A60" s="2" t="inlineStr">
        <is>
          <t>FNE giro (renovável a cada safra – só juros no caixa)</t>
        </is>
      </c>
      <c r="B60" s="7" t="n">
        <v>600000</v>
      </c>
      <c r="C60" s="2" t="inlineStr">
        <is>
          <t>R$</t>
        </is>
      </c>
      <c r="D60" s="2" t="inlineStr">
        <is>
          <t>Plano de giro 29/09. Prazo/renovação NÃO publicados: CONFIRMAR COM BNB.</t>
        </is>
      </c>
    </row>
    <row r="61">
      <c r="A61" s="2" t="inlineStr">
        <is>
          <t>Vida útil obras civis</t>
        </is>
      </c>
      <c r="B61" s="6" t="n">
        <v>25</v>
      </c>
      <c r="C61" s="2" t="inlineStr">
        <is>
          <t>anos</t>
        </is>
      </c>
      <c r="D61" s="2" t="inlineStr">
        <is>
          <t>Premissa contábil.</t>
        </is>
      </c>
    </row>
    <row r="62">
      <c r="A62" s="2" t="inlineStr">
        <is>
          <t>Vida útil equipamentos</t>
        </is>
      </c>
      <c r="B62" s="6" t="n">
        <v>10</v>
      </c>
      <c r="C62" s="2" t="inlineStr">
        <is>
          <t>anos</t>
        </is>
      </c>
      <c r="D62" s="2" t="inlineStr">
        <is>
          <t>Premissa contábil.</t>
        </is>
      </c>
    </row>
    <row r="63">
      <c r="A63" s="2" t="inlineStr">
        <is>
          <t>IRPJ/CSLL sobre ato cooperativo</t>
        </is>
      </c>
      <c r="B63" s="9" t="n">
        <v>0</v>
      </c>
      <c r="C63" s="2" t="inlineStr">
        <is>
          <t>%</t>
        </is>
      </c>
      <c r="D63" s="2" t="inlineStr">
        <is>
          <t>Lei 5.764/1971, arts. 79 e 111 (mel só de associados).</t>
        </is>
      </c>
    </row>
    <row r="64">
      <c r="A64" s="2" t="inlineStr">
        <is>
          <t>Taxa de desconto (VPL)</t>
        </is>
      </c>
      <c r="B64" s="9" t="n">
        <v>0.1</v>
      </c>
      <c r="C64" s="2" t="inlineStr">
        <is>
          <t>% a.a.</t>
        </is>
      </c>
      <c r="D64" s="2" t="inlineStr">
        <is>
          <t>Premissa = custo FNE base.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6" customWidth="1" min="3" max="3"/>
    <col width="18" customWidth="1" min="4" max="4"/>
    <col width="8" customWidth="1" min="5" max="5"/>
    <col width="16" customWidth="1" min="6" max="6"/>
  </cols>
  <sheetData>
    <row r="1">
      <c r="A1" s="1" t="inlineStr">
        <is>
          <t>PESSOAL · quadro enxuto do entreposto (CLT: salário × 13,33 × (1+35,8%) + R$ 400/mês)</t>
        </is>
      </c>
    </row>
    <row r="2"/>
    <row r="3">
      <c r="A3" s="3" t="inlineStr">
        <is>
          <t>Setor</t>
        </is>
      </c>
      <c r="B3" s="3" t="inlineStr">
        <is>
          <t>Função</t>
        </is>
      </c>
      <c r="C3" s="3" t="inlineStr">
        <is>
          <t>Qtd.</t>
        </is>
      </c>
      <c r="D3" s="3" t="inlineStr">
        <is>
          <t>Salário mensal (R$)</t>
        </is>
      </c>
      <c r="E3" s="3" t="inlineStr">
        <is>
          <t>Tipo</t>
        </is>
      </c>
      <c r="F3" s="3" t="inlineStr">
        <is>
          <t>Custo anual (R$)</t>
        </is>
      </c>
    </row>
    <row r="4">
      <c r="A4" t="inlineStr">
        <is>
          <t>Gestão</t>
        </is>
      </c>
      <c r="B4" t="inlineStr">
        <is>
          <t>Gerente do entreposto</t>
        </is>
      </c>
      <c r="C4" s="6" t="n">
        <v>1</v>
      </c>
      <c r="D4" s="6" t="n">
        <v>5500</v>
      </c>
      <c r="E4" t="inlineStr">
        <is>
          <t>CLT</t>
        </is>
      </c>
      <c r="F4" s="12">
        <f>C4*(D4*13.33*(1+0.358)+400*12)</f>
        <v/>
      </c>
    </row>
    <row r="5">
      <c r="A5" t="inlineStr">
        <is>
          <t>Gestão</t>
        </is>
      </c>
      <c r="B5" t="inlineStr">
        <is>
          <t>Assistente administrativo-financeiro</t>
        </is>
      </c>
      <c r="C5" s="6" t="n">
        <v>1</v>
      </c>
      <c r="D5" s="6" t="n">
        <v>2800</v>
      </c>
      <c r="E5" t="inlineStr">
        <is>
          <t>CLT</t>
        </is>
      </c>
      <c r="F5" s="12">
        <f>C5*(D5*13.33*(1+0.358)+400*12)</f>
        <v/>
      </c>
    </row>
    <row r="6">
      <c r="A6" t="inlineStr">
        <is>
          <t>Qualidade</t>
        </is>
      </c>
      <c r="B6" t="inlineStr">
        <is>
          <t>Técnico de laboratório / monitor de BPF</t>
        </is>
      </c>
      <c r="C6" s="6" t="n">
        <v>1</v>
      </c>
      <c r="D6" s="6" t="n">
        <v>2800</v>
      </c>
      <c r="E6" t="inlineStr">
        <is>
          <t>CLT</t>
        </is>
      </c>
      <c r="F6" s="12">
        <f>C6*(D6*13.33*(1+0.358)+400*12)</f>
        <v/>
      </c>
    </row>
    <row r="7">
      <c r="A7" t="inlineStr">
        <is>
          <t>Produção</t>
        </is>
      </c>
      <c r="B7" t="inlineStr">
        <is>
          <t>Operador de recepção e beneficiamento</t>
        </is>
      </c>
      <c r="C7" s="6" t="n">
        <v>2</v>
      </c>
      <c r="D7" s="6" t="n">
        <v>1900</v>
      </c>
      <c r="E7" t="inlineStr">
        <is>
          <t>CLT</t>
        </is>
      </c>
      <c r="F7" s="12">
        <f>C7*(D7*13.33*(1+0.358)+400*12)</f>
        <v/>
      </c>
    </row>
    <row r="8">
      <c r="A8" t="inlineStr">
        <is>
          <t>Produção</t>
        </is>
      </c>
      <c r="B8" t="inlineStr">
        <is>
          <t>Operador de envase e rotulagem</t>
        </is>
      </c>
      <c r="C8" s="6" t="n">
        <v>2</v>
      </c>
      <c r="D8" s="6" t="n">
        <v>1800</v>
      </c>
      <c r="E8" t="inlineStr">
        <is>
          <t>CLT</t>
        </is>
      </c>
      <c r="F8" s="12">
        <f>C8*(D8*13.33*(1+0.358)+400*12)</f>
        <v/>
      </c>
    </row>
    <row r="9">
      <c r="A9" t="inlineStr">
        <is>
          <t>Produção</t>
        </is>
      </c>
      <c r="B9" t="inlineStr">
        <is>
          <t>Auxiliar de higienização</t>
        </is>
      </c>
      <c r="C9" s="6" t="n">
        <v>1</v>
      </c>
      <c r="D9" s="6" t="n">
        <v>1700</v>
      </c>
      <c r="E9" t="inlineStr">
        <is>
          <t>CLT</t>
        </is>
      </c>
      <c r="F9" s="12">
        <f>C9*(D9*13.33*(1+0.358)+400*12)</f>
        <v/>
      </c>
    </row>
    <row r="10">
      <c r="A10" t="inlineStr">
        <is>
          <t>Logística</t>
        </is>
      </c>
      <c r="B10" t="inlineStr">
        <is>
          <t>Auxiliar de expedição / motorista</t>
        </is>
      </c>
      <c r="C10" s="6" t="n">
        <v>1</v>
      </c>
      <c r="D10" s="6" t="n">
        <v>2200</v>
      </c>
      <c r="E10" t="inlineStr">
        <is>
          <t>CLT</t>
        </is>
      </c>
      <c r="F10" s="12">
        <f>C10*(D10*13.33*(1+0.358)+400*12)</f>
        <v/>
      </c>
    </row>
    <row r="11">
      <c r="A11" t="inlineStr">
        <is>
          <t>Comercial</t>
        </is>
      </c>
      <c r="B11" t="inlineStr">
        <is>
          <t>Vendedor (CE)</t>
        </is>
      </c>
      <c r="C11" s="6" t="n">
        <v>1</v>
      </c>
      <c r="D11" s="6" t="n">
        <v>3000</v>
      </c>
      <c r="E11" t="inlineStr">
        <is>
          <t>CLT</t>
        </is>
      </c>
      <c r="F11" s="12">
        <f>C11*(D11*13.33*(1+0.358)+400*12)</f>
        <v/>
      </c>
    </row>
    <row r="12"/>
    <row r="13"/>
    <row r="14">
      <c r="B14" s="13" t="inlineStr">
        <is>
          <t>TOTAL</t>
        </is>
      </c>
      <c r="C14">
        <f>SUM(C4:C11)</f>
        <v/>
      </c>
      <c r="F14" s="14">
        <f>SUM(F4:F11)</f>
        <v/>
      </c>
    </row>
    <row r="15"/>
    <row r="16">
      <c r="A16" t="inlineStr">
        <is>
          <t>RT fica fora do quadro: contrato de prestação de serviço (Premissas). Salários = premissa a validar.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FLUXO ANUAL · ano 0 = obra · anos 1 a 12 = operação (R$)</t>
        </is>
      </c>
    </row>
    <row r="2"/>
    <row r="3">
      <c r="A3" s="3" t="inlineStr">
        <is>
          <t>Linha</t>
        </is>
      </c>
      <c r="B3" s="3" t="inlineStr">
        <is>
          <t>Ano 0</t>
        </is>
      </c>
      <c r="C3" s="3" t="inlineStr">
        <is>
          <t>Ano 1</t>
        </is>
      </c>
      <c r="D3" s="3" t="inlineStr">
        <is>
          <t>Ano 2</t>
        </is>
      </c>
      <c r="E3" s="3" t="inlineStr">
        <is>
          <t>Ano 3</t>
        </is>
      </c>
      <c r="F3" s="3" t="inlineStr">
        <is>
          <t>Ano 4</t>
        </is>
      </c>
      <c r="G3" s="3" t="inlineStr">
        <is>
          <t>Ano 5</t>
        </is>
      </c>
      <c r="H3" s="3" t="inlineStr">
        <is>
          <t>Ano 6</t>
        </is>
      </c>
      <c r="I3" s="3" t="inlineStr">
        <is>
          <t>Ano 7</t>
        </is>
      </c>
      <c r="J3" s="3" t="inlineStr">
        <is>
          <t>Ano 8</t>
        </is>
      </c>
      <c r="K3" s="3" t="inlineStr">
        <is>
          <t>Ano 9</t>
        </is>
      </c>
      <c r="L3" s="3" t="inlineStr">
        <is>
          <t>Ano 10</t>
        </is>
      </c>
      <c r="M3" s="3" t="inlineStr">
        <is>
          <t>Ano 11</t>
        </is>
      </c>
      <c r="N3" s="3" t="inlineStr">
        <is>
          <t>Ano 12</t>
        </is>
      </c>
    </row>
    <row r="4">
      <c r="A4" s="2" t="inlineStr">
        <is>
          <t>Volume recebido (t)</t>
        </is>
      </c>
      <c r="B4" s="15" t="n">
        <v>0</v>
      </c>
      <c r="C4" s="15">
        <f>IF(1=1,Premissas!$B$23,IF(1=2,Premissas!$B$24,Premissas!$B$25))*Premissas!$B$7</f>
        <v/>
      </c>
      <c r="D4" s="15">
        <f>IF(2=1,Premissas!$B$23,IF(2=2,Premissas!$B$24,Premissas!$B$25))*Premissas!$B$7</f>
        <v/>
      </c>
      <c r="E4" s="15">
        <f>IF(3=1,Premissas!$B$23,IF(3=2,Premissas!$B$24,Premissas!$B$25))*Premissas!$B$7</f>
        <v/>
      </c>
      <c r="F4" s="15">
        <f>IF(4=1,Premissas!$B$23,IF(4=2,Premissas!$B$24,Premissas!$B$25))*Premissas!$B$7</f>
        <v/>
      </c>
      <c r="G4" s="15">
        <f>IF(5=1,Premissas!$B$23,IF(5=2,Premissas!$B$24,Premissas!$B$25))*Premissas!$B$7</f>
        <v/>
      </c>
      <c r="H4" s="15">
        <f>IF(6=1,Premissas!$B$23,IF(6=2,Premissas!$B$24,Premissas!$B$25))*Premissas!$B$7</f>
        <v/>
      </c>
      <c r="I4" s="15">
        <f>IF(7=1,Premissas!$B$23,IF(7=2,Premissas!$B$24,Premissas!$B$25))*Premissas!$B$7</f>
        <v/>
      </c>
      <c r="J4" s="15">
        <f>IF(8=1,Premissas!$B$23,IF(8=2,Premissas!$B$24,Premissas!$B$25))*Premissas!$B$7</f>
        <v/>
      </c>
      <c r="K4" s="15">
        <f>IF(9=1,Premissas!$B$23,IF(9=2,Premissas!$B$24,Premissas!$B$25))*Premissas!$B$7</f>
        <v/>
      </c>
      <c r="L4" s="15">
        <f>IF(10=1,Premissas!$B$23,IF(10=2,Premissas!$B$24,Premissas!$B$25))*Premissas!$B$7</f>
        <v/>
      </c>
      <c r="M4" s="15">
        <f>IF(11=1,Premissas!$B$23,IF(11=2,Premissas!$B$24,Premissas!$B$25))*Premissas!$B$7</f>
        <v/>
      </c>
      <c r="N4" s="15">
        <f>IF(12=1,Premissas!$B$23,IF(12=2,Premissas!$B$24,Premissas!$B$25))*Premissas!$B$7</f>
        <v/>
      </c>
    </row>
    <row r="5">
      <c r="A5" s="2" t="inlineStr">
        <is>
          <t>Uso da capacidade</t>
        </is>
      </c>
      <c r="B5" s="16" t="n">
        <v>0</v>
      </c>
      <c r="C5" s="16">
        <f>C4/Premissas!$B$22</f>
        <v/>
      </c>
      <c r="D5" s="16">
        <f>D4/Premissas!$B$22</f>
        <v/>
      </c>
      <c r="E5" s="16">
        <f>E4/Premissas!$B$22</f>
        <v/>
      </c>
      <c r="F5" s="16">
        <f>F4/Premissas!$B$22</f>
        <v/>
      </c>
      <c r="G5" s="16">
        <f>G4/Premissas!$B$22</f>
        <v/>
      </c>
      <c r="H5" s="16">
        <f>H4/Premissas!$B$22</f>
        <v/>
      </c>
      <c r="I5" s="16">
        <f>I4/Premissas!$B$22</f>
        <v/>
      </c>
      <c r="J5" s="16">
        <f>J4/Premissas!$B$22</f>
        <v/>
      </c>
      <c r="K5" s="16">
        <f>K4/Premissas!$B$22</f>
        <v/>
      </c>
      <c r="L5" s="16">
        <f>L4/Premissas!$B$22</f>
        <v/>
      </c>
      <c r="M5" s="16">
        <f>M4/Premissas!$B$22</f>
        <v/>
      </c>
      <c r="N5" s="16">
        <f>N4/Premissas!$B$22</f>
        <v/>
      </c>
    </row>
    <row r="6">
      <c r="A6" s="2" t="inlineStr">
        <is>
          <t>Volume vendido (t)</t>
        </is>
      </c>
      <c r="B6" s="15">
        <f>B4*(1-Premissas!$B$26)</f>
        <v/>
      </c>
      <c r="C6" s="15">
        <f>C4*(1-Premissas!$B$26)</f>
        <v/>
      </c>
      <c r="D6" s="15">
        <f>D4*(1-Premissas!$B$26)</f>
        <v/>
      </c>
      <c r="E6" s="15">
        <f>E4*(1-Premissas!$B$26)</f>
        <v/>
      </c>
      <c r="F6" s="15">
        <f>F4*(1-Premissas!$B$26)</f>
        <v/>
      </c>
      <c r="G6" s="15">
        <f>G4*(1-Premissas!$B$26)</f>
        <v/>
      </c>
      <c r="H6" s="15">
        <f>H4*(1-Premissas!$B$26)</f>
        <v/>
      </c>
      <c r="I6" s="15">
        <f>I4*(1-Premissas!$B$26)</f>
        <v/>
      </c>
      <c r="J6" s="15">
        <f>J4*(1-Premissas!$B$26)</f>
        <v/>
      </c>
      <c r="K6" s="15">
        <f>K4*(1-Premissas!$B$26)</f>
        <v/>
      </c>
      <c r="L6" s="15">
        <f>L4*(1-Premissas!$B$26)</f>
        <v/>
      </c>
      <c r="M6" s="15">
        <f>M4*(1-Premissas!$B$26)</f>
        <v/>
      </c>
      <c r="N6" s="15">
        <f>N4*(1-Premissas!$B$26)</f>
        <v/>
      </c>
    </row>
    <row r="7">
      <c r="A7" s="2" t="inlineStr">
        <is>
          <t>Sachê (t)</t>
        </is>
      </c>
      <c r="B7" s="15">
        <f>B6*Premissas!$B$27</f>
        <v/>
      </c>
      <c r="C7" s="15">
        <f>C6*Premissas!$B$27</f>
        <v/>
      </c>
      <c r="D7" s="15">
        <f>D6*Premissas!$B$27</f>
        <v/>
      </c>
      <c r="E7" s="15">
        <f>E6*Premissas!$B$27</f>
        <v/>
      </c>
      <c r="F7" s="15">
        <f>F6*Premissas!$B$27</f>
        <v/>
      </c>
      <c r="G7" s="15">
        <f>G6*Premissas!$B$27</f>
        <v/>
      </c>
      <c r="H7" s="15">
        <f>H6*Premissas!$B$27</f>
        <v/>
      </c>
      <c r="I7" s="15">
        <f>I6*Premissas!$B$27</f>
        <v/>
      </c>
      <c r="J7" s="15">
        <f>J6*Premissas!$B$27</f>
        <v/>
      </c>
      <c r="K7" s="15">
        <f>K6*Premissas!$B$27</f>
        <v/>
      </c>
      <c r="L7" s="15">
        <f>L6*Premissas!$B$27</f>
        <v/>
      </c>
      <c r="M7" s="15">
        <f>M6*Premissas!$B$27</f>
        <v/>
      </c>
      <c r="N7" s="15">
        <f>N6*Premissas!$B$27</f>
        <v/>
      </c>
    </row>
    <row r="8">
      <c r="A8" s="2" t="inlineStr">
        <is>
          <t>Granel (t)</t>
        </is>
      </c>
      <c r="B8" s="15">
        <f>B6*(1-Premissas!$B$27)</f>
        <v/>
      </c>
      <c r="C8" s="15">
        <f>C6*(1-Premissas!$B$27)</f>
        <v/>
      </c>
      <c r="D8" s="15">
        <f>D6*(1-Premissas!$B$27)</f>
        <v/>
      </c>
      <c r="E8" s="15">
        <f>E6*(1-Premissas!$B$27)</f>
        <v/>
      </c>
      <c r="F8" s="15">
        <f>F6*(1-Premissas!$B$27)</f>
        <v/>
      </c>
      <c r="G8" s="15">
        <f>G6*(1-Premissas!$B$27)</f>
        <v/>
      </c>
      <c r="H8" s="15">
        <f>H6*(1-Premissas!$B$27)</f>
        <v/>
      </c>
      <c r="I8" s="15">
        <f>I6*(1-Premissas!$B$27)</f>
        <v/>
      </c>
      <c r="J8" s="15">
        <f>J6*(1-Premissas!$B$27)</f>
        <v/>
      </c>
      <c r="K8" s="15">
        <f>K6*(1-Premissas!$B$27)</f>
        <v/>
      </c>
      <c r="L8" s="15">
        <f>L6*(1-Premissas!$B$27)</f>
        <v/>
      </c>
      <c r="M8" s="15">
        <f>M6*(1-Premissas!$B$27)</f>
        <v/>
      </c>
      <c r="N8" s="15">
        <f>N6*(1-Premissas!$B$27)</f>
        <v/>
      </c>
    </row>
    <row r="9"/>
    <row r="10">
      <c r="A10" s="2" t="inlineStr">
        <is>
          <t>Receita sachê</t>
        </is>
      </c>
      <c r="B10" s="12">
        <f>B7*1000*Premissas!$B$30*Premissas!$B$6</f>
        <v/>
      </c>
      <c r="C10" s="12">
        <f>C7*1000*Premissas!$B$30*Premissas!$B$6</f>
        <v/>
      </c>
      <c r="D10" s="12">
        <f>D7*1000*Premissas!$B$30*Premissas!$B$6</f>
        <v/>
      </c>
      <c r="E10" s="12">
        <f>E7*1000*Premissas!$B$30*Premissas!$B$6</f>
        <v/>
      </c>
      <c r="F10" s="12">
        <f>F7*1000*Premissas!$B$30*Premissas!$B$6</f>
        <v/>
      </c>
      <c r="G10" s="12">
        <f>G7*1000*Premissas!$B$30*Premissas!$B$6</f>
        <v/>
      </c>
      <c r="H10" s="12">
        <f>H7*1000*Premissas!$B$30*Premissas!$B$6</f>
        <v/>
      </c>
      <c r="I10" s="12">
        <f>I7*1000*Premissas!$B$30*Premissas!$B$6</f>
        <v/>
      </c>
      <c r="J10" s="12">
        <f>J7*1000*Premissas!$B$30*Premissas!$B$6</f>
        <v/>
      </c>
      <c r="K10" s="12">
        <f>K7*1000*Premissas!$B$30*Premissas!$B$6</f>
        <v/>
      </c>
      <c r="L10" s="12">
        <f>L7*1000*Premissas!$B$30*Premissas!$B$6</f>
        <v/>
      </c>
      <c r="M10" s="12">
        <f>M7*1000*Premissas!$B$30*Premissas!$B$6</f>
        <v/>
      </c>
      <c r="N10" s="12">
        <f>N7*1000*Premissas!$B$30*Premissas!$B$6</f>
        <v/>
      </c>
    </row>
    <row r="11">
      <c r="A11" s="2" t="inlineStr">
        <is>
          <t>Receita granel</t>
        </is>
      </c>
      <c r="B11" s="12">
        <f>B8*1000*Premissas!$B$31*Premissas!$B$6</f>
        <v/>
      </c>
      <c r="C11" s="12">
        <f>C8*1000*Premissas!$B$31*Premissas!$B$6</f>
        <v/>
      </c>
      <c r="D11" s="12">
        <f>D8*1000*Premissas!$B$31*Premissas!$B$6</f>
        <v/>
      </c>
      <c r="E11" s="12">
        <f>E8*1000*Premissas!$B$31*Premissas!$B$6</f>
        <v/>
      </c>
      <c r="F11" s="12">
        <f>F8*1000*Premissas!$B$31*Premissas!$B$6</f>
        <v/>
      </c>
      <c r="G11" s="12">
        <f>G8*1000*Premissas!$B$31*Premissas!$B$6</f>
        <v/>
      </c>
      <c r="H11" s="12">
        <f>H8*1000*Premissas!$B$31*Premissas!$B$6</f>
        <v/>
      </c>
      <c r="I11" s="12">
        <f>I8*1000*Premissas!$B$31*Premissas!$B$6</f>
        <v/>
      </c>
      <c r="J11" s="12">
        <f>J8*1000*Premissas!$B$31*Premissas!$B$6</f>
        <v/>
      </c>
      <c r="K11" s="12">
        <f>K8*1000*Premissas!$B$31*Premissas!$B$6</f>
        <v/>
      </c>
      <c r="L11" s="12">
        <f>L8*1000*Premissas!$B$31*Premissas!$B$6</f>
        <v/>
      </c>
      <c r="M11" s="12">
        <f>M8*1000*Premissas!$B$31*Premissas!$B$6</f>
        <v/>
      </c>
      <c r="N11" s="12">
        <f>N8*1000*Premissas!$B$31*Premissas!$B$6</f>
        <v/>
      </c>
    </row>
    <row r="12">
      <c r="A12" s="13" t="inlineStr">
        <is>
          <t>RECEITA BRUTA</t>
        </is>
      </c>
      <c r="B12" s="14">
        <f>B10+B11</f>
        <v/>
      </c>
      <c r="C12" s="14">
        <f>C10+C11</f>
        <v/>
      </c>
      <c r="D12" s="14">
        <f>D10+D11</f>
        <v/>
      </c>
      <c r="E12" s="14">
        <f>E10+E11</f>
        <v/>
      </c>
      <c r="F12" s="14">
        <f>F10+F11</f>
        <v/>
      </c>
      <c r="G12" s="14">
        <f>G10+G11</f>
        <v/>
      </c>
      <c r="H12" s="14">
        <f>H10+H11</f>
        <v/>
      </c>
      <c r="I12" s="14">
        <f>I10+I11</f>
        <v/>
      </c>
      <c r="J12" s="14">
        <f>J10+J11</f>
        <v/>
      </c>
      <c r="K12" s="14">
        <f>K10+K11</f>
        <v/>
      </c>
      <c r="L12" s="14">
        <f>L10+L11</f>
        <v/>
      </c>
      <c r="M12" s="14">
        <f>M10+M11</f>
        <v/>
      </c>
      <c r="N12" s="14">
        <f>N10+N11</f>
        <v/>
      </c>
    </row>
    <row r="13">
      <c r="A13" s="2" t="inlineStr">
        <is>
          <t>Tributos sobre vendas</t>
        </is>
      </c>
      <c r="B13" s="12">
        <f>-B12*Premissas!$B$47</f>
        <v/>
      </c>
      <c r="C13" s="12">
        <f>-C12*Premissas!$B$47</f>
        <v/>
      </c>
      <c r="D13" s="12">
        <f>-D12*Premissas!$B$47</f>
        <v/>
      </c>
      <c r="E13" s="12">
        <f>-E12*Premissas!$B$47</f>
        <v/>
      </c>
      <c r="F13" s="12">
        <f>-F12*Premissas!$B$47</f>
        <v/>
      </c>
      <c r="G13" s="12">
        <f>-G12*Premissas!$B$47</f>
        <v/>
      </c>
      <c r="H13" s="12">
        <f>-H12*Premissas!$B$47</f>
        <v/>
      </c>
      <c r="I13" s="12">
        <f>-I12*Premissas!$B$47</f>
        <v/>
      </c>
      <c r="J13" s="12">
        <f>-J12*Premissas!$B$47</f>
        <v/>
      </c>
      <c r="K13" s="12">
        <f>-K12*Premissas!$B$47</f>
        <v/>
      </c>
      <c r="L13" s="12">
        <f>-L12*Premissas!$B$47</f>
        <v/>
      </c>
      <c r="M13" s="12">
        <f>-M12*Premissas!$B$47</f>
        <v/>
      </c>
      <c r="N13" s="12">
        <f>-N12*Premissas!$B$47</f>
        <v/>
      </c>
    </row>
    <row r="14"/>
    <row r="15">
      <c r="A15" s="2" t="inlineStr">
        <is>
          <t>Mel pago ao cooperado (valor total)</t>
        </is>
      </c>
      <c r="B15" s="12">
        <f>-B4*1000*Premissas!$B$33</f>
        <v/>
      </c>
      <c r="C15" s="12">
        <f>-C4*1000*Premissas!$B$33</f>
        <v/>
      </c>
      <c r="D15" s="12">
        <f>-D4*1000*Premissas!$B$33</f>
        <v/>
      </c>
      <c r="E15" s="12">
        <f>-E4*1000*Premissas!$B$33</f>
        <v/>
      </c>
      <c r="F15" s="12">
        <f>-F4*1000*Premissas!$B$33</f>
        <v/>
      </c>
      <c r="G15" s="12">
        <f>-G4*1000*Premissas!$B$33</f>
        <v/>
      </c>
      <c r="H15" s="12">
        <f>-H4*1000*Premissas!$B$33</f>
        <v/>
      </c>
      <c r="I15" s="12">
        <f>-I4*1000*Premissas!$B$33</f>
        <v/>
      </c>
      <c r="J15" s="12">
        <f>-J4*1000*Premissas!$B$33</f>
        <v/>
      </c>
      <c r="K15" s="12">
        <f>-K4*1000*Premissas!$B$33</f>
        <v/>
      </c>
      <c r="L15" s="12">
        <f>-L4*1000*Premissas!$B$33</f>
        <v/>
      </c>
      <c r="M15" s="12">
        <f>-M4*1000*Premissas!$B$33</f>
        <v/>
      </c>
      <c r="N15" s="12">
        <f>-N4*1000*Premissas!$B$33</f>
        <v/>
      </c>
    </row>
    <row r="16">
      <c r="A16" s="2" t="inlineStr">
        <is>
          <t>Embalagem sachê + tambor</t>
        </is>
      </c>
      <c r="B16" s="12">
        <f>-(B7*1000*Premissas!$B$40+B8*1000*Premissas!$B$41)</f>
        <v/>
      </c>
      <c r="C16" s="12">
        <f>-(C7*1000*Premissas!$B$40+C8*1000*Premissas!$B$41)</f>
        <v/>
      </c>
      <c r="D16" s="12">
        <f>-(D7*1000*Premissas!$B$40+D8*1000*Premissas!$B$41)</f>
        <v/>
      </c>
      <c r="E16" s="12">
        <f>-(E7*1000*Premissas!$B$40+E8*1000*Premissas!$B$41)</f>
        <v/>
      </c>
      <c r="F16" s="12">
        <f>-(F7*1000*Premissas!$B$40+F8*1000*Premissas!$B$41)</f>
        <v/>
      </c>
      <c r="G16" s="12">
        <f>-(G7*1000*Premissas!$B$40+G8*1000*Premissas!$B$41)</f>
        <v/>
      </c>
      <c r="H16" s="12">
        <f>-(H7*1000*Premissas!$B$40+H8*1000*Premissas!$B$41)</f>
        <v/>
      </c>
      <c r="I16" s="12">
        <f>-(I7*1000*Premissas!$B$40+I8*1000*Premissas!$B$41)</f>
        <v/>
      </c>
      <c r="J16" s="12">
        <f>-(J7*1000*Premissas!$B$40+J8*1000*Premissas!$B$41)</f>
        <v/>
      </c>
      <c r="K16" s="12">
        <f>-(K7*1000*Premissas!$B$40+K8*1000*Premissas!$B$41)</f>
        <v/>
      </c>
      <c r="L16" s="12">
        <f>-(L7*1000*Premissas!$B$40+L8*1000*Premissas!$B$41)</f>
        <v/>
      </c>
      <c r="M16" s="12">
        <f>-(M7*1000*Premissas!$B$40+M8*1000*Premissas!$B$41)</f>
        <v/>
      </c>
      <c r="N16" s="12">
        <f>-(N7*1000*Premissas!$B$40+N8*1000*Premissas!$B$41)</f>
        <v/>
      </c>
    </row>
    <row r="17">
      <c r="A17" s="2" t="inlineStr">
        <is>
          <t>Fretes</t>
        </is>
      </c>
      <c r="B17" s="12">
        <f>-(B10*Premissas!$B$42+B8*1000*Premissas!$B$43)</f>
        <v/>
      </c>
      <c r="C17" s="12">
        <f>-(C10*Premissas!$B$42+C8*1000*Premissas!$B$43)</f>
        <v/>
      </c>
      <c r="D17" s="12">
        <f>-(D10*Premissas!$B$42+D8*1000*Premissas!$B$43)</f>
        <v/>
      </c>
      <c r="E17" s="12">
        <f>-(E10*Premissas!$B$42+E8*1000*Premissas!$B$43)</f>
        <v/>
      </c>
      <c r="F17" s="12">
        <f>-(F10*Premissas!$B$42+F8*1000*Premissas!$B$43)</f>
        <v/>
      </c>
      <c r="G17" s="12">
        <f>-(G10*Premissas!$B$42+G8*1000*Premissas!$B$43)</f>
        <v/>
      </c>
      <c r="H17" s="12">
        <f>-(H10*Premissas!$B$42+H8*1000*Premissas!$B$43)</f>
        <v/>
      </c>
      <c r="I17" s="12">
        <f>-(I10*Premissas!$B$42+I8*1000*Premissas!$B$43)</f>
        <v/>
      </c>
      <c r="J17" s="12">
        <f>-(J10*Premissas!$B$42+J8*1000*Premissas!$B$43)</f>
        <v/>
      </c>
      <c r="K17" s="12">
        <f>-(K10*Premissas!$B$42+K8*1000*Premissas!$B$43)</f>
        <v/>
      </c>
      <c r="L17" s="12">
        <f>-(L10*Premissas!$B$42+L8*1000*Premissas!$B$43)</f>
        <v/>
      </c>
      <c r="M17" s="12">
        <f>-(M10*Premissas!$B$42+M8*1000*Premissas!$B$43)</f>
        <v/>
      </c>
      <c r="N17" s="12">
        <f>-(N10*Premissas!$B$42+N8*1000*Premissas!$B$43)</f>
        <v/>
      </c>
    </row>
    <row r="18">
      <c r="A18" s="2" t="inlineStr">
        <is>
          <t>Comercial + licença de marca</t>
        </is>
      </c>
      <c r="B18" s="12">
        <f>-B10*(Premissas!$B$44+Premissas!$B$45)</f>
        <v/>
      </c>
      <c r="C18" s="12">
        <f>-C10*(Premissas!$B$44+Premissas!$B$45)</f>
        <v/>
      </c>
      <c r="D18" s="12">
        <f>-D10*(Premissas!$B$44+Premissas!$B$45)</f>
        <v/>
      </c>
      <c r="E18" s="12">
        <f>-E10*(Premissas!$B$44+Premissas!$B$45)</f>
        <v/>
      </c>
      <c r="F18" s="12">
        <f>-F10*(Premissas!$B$44+Premissas!$B$45)</f>
        <v/>
      </c>
      <c r="G18" s="12">
        <f>-G10*(Premissas!$B$44+Premissas!$B$45)</f>
        <v/>
      </c>
      <c r="H18" s="12">
        <f>-H10*(Premissas!$B$44+Premissas!$B$45)</f>
        <v/>
      </c>
      <c r="I18" s="12">
        <f>-I10*(Premissas!$B$44+Premissas!$B$45)</f>
        <v/>
      </c>
      <c r="J18" s="12">
        <f>-J10*(Premissas!$B$44+Premissas!$B$45)</f>
        <v/>
      </c>
      <c r="K18" s="12">
        <f>-K10*(Premissas!$B$44+Premissas!$B$45)</f>
        <v/>
      </c>
      <c r="L18" s="12">
        <f>-L10*(Premissas!$B$44+Premissas!$B$45)</f>
        <v/>
      </c>
      <c r="M18" s="12">
        <f>-M10*(Premissas!$B$44+Premissas!$B$45)</f>
        <v/>
      </c>
      <c r="N18" s="12">
        <f>-N10*(Premissas!$B$44+Premissas!$B$45)</f>
        <v/>
      </c>
    </row>
    <row r="19">
      <c r="A19" s="2" t="inlineStr">
        <is>
          <t>Energia de processo</t>
        </is>
      </c>
      <c r="B19" s="12">
        <f>-B4*1000*Premissas!$B$46</f>
        <v/>
      </c>
      <c r="C19" s="12">
        <f>-C4*1000*Premissas!$B$46</f>
        <v/>
      </c>
      <c r="D19" s="12">
        <f>-D4*1000*Premissas!$B$46</f>
        <v/>
      </c>
      <c r="E19" s="12">
        <f>-E4*1000*Premissas!$B$46</f>
        <v/>
      </c>
      <c r="F19" s="12">
        <f>-F4*1000*Premissas!$B$46</f>
        <v/>
      </c>
      <c r="G19" s="12">
        <f>-G4*1000*Premissas!$B$46</f>
        <v/>
      </c>
      <c r="H19" s="12">
        <f>-H4*1000*Premissas!$B$46</f>
        <v/>
      </c>
      <c r="I19" s="12">
        <f>-I4*1000*Premissas!$B$46</f>
        <v/>
      </c>
      <c r="J19" s="12">
        <f>-J4*1000*Premissas!$B$46</f>
        <v/>
      </c>
      <c r="K19" s="12">
        <f>-K4*1000*Premissas!$B$46</f>
        <v/>
      </c>
      <c r="L19" s="12">
        <f>-L4*1000*Premissas!$B$46</f>
        <v/>
      </c>
      <c r="M19" s="12">
        <f>-M4*1000*Premissas!$B$46</f>
        <v/>
      </c>
      <c r="N19" s="12">
        <f>-N4*1000*Premissas!$B$46</f>
        <v/>
      </c>
    </row>
    <row r="20">
      <c r="A20" s="13" t="inlineStr">
        <is>
          <t>MARGEM DE CONTRIBUIÇÃO</t>
        </is>
      </c>
      <c r="B20" s="14">
        <f>SUM(B12:B19)</f>
        <v/>
      </c>
      <c r="C20" s="14">
        <f>SUM(C12:C19)</f>
        <v/>
      </c>
      <c r="D20" s="14">
        <f>SUM(D12:D19)</f>
        <v/>
      </c>
      <c r="E20" s="14">
        <f>SUM(E12:E19)</f>
        <v/>
      </c>
      <c r="F20" s="14">
        <f>SUM(F12:F19)</f>
        <v/>
      </c>
      <c r="G20" s="14">
        <f>SUM(G12:G19)</f>
        <v/>
      </c>
      <c r="H20" s="14">
        <f>SUM(H12:H19)</f>
        <v/>
      </c>
      <c r="I20" s="14">
        <f>SUM(I12:I19)</f>
        <v/>
      </c>
      <c r="J20" s="14">
        <f>SUM(J12:J19)</f>
        <v/>
      </c>
      <c r="K20" s="14">
        <f>SUM(K12:K19)</f>
        <v/>
      </c>
      <c r="L20" s="14">
        <f>SUM(L12:L19)</f>
        <v/>
      </c>
      <c r="M20" s="14">
        <f>SUM(M12:M19)</f>
        <v/>
      </c>
      <c r="N20" s="14">
        <f>SUM(N12:N19)</f>
        <v/>
      </c>
    </row>
    <row r="21"/>
    <row r="22">
      <c r="A22" s="2" t="inlineStr">
        <is>
          <t>Pessoal</t>
        </is>
      </c>
      <c r="B22" s="12" t="n">
        <v>0</v>
      </c>
      <c r="C22" s="12">
        <f>-Premissas!$B$50</f>
        <v/>
      </c>
      <c r="D22" s="12">
        <f>-Premissas!$B$50</f>
        <v/>
      </c>
      <c r="E22" s="12">
        <f>-Premissas!$B$50</f>
        <v/>
      </c>
      <c r="F22" s="12">
        <f>-Premissas!$B$50</f>
        <v/>
      </c>
      <c r="G22" s="12">
        <f>-Premissas!$B$50</f>
        <v/>
      </c>
      <c r="H22" s="12">
        <f>-Premissas!$B$50</f>
        <v/>
      </c>
      <c r="I22" s="12">
        <f>-Premissas!$B$50</f>
        <v/>
      </c>
      <c r="J22" s="12">
        <f>-Premissas!$B$50</f>
        <v/>
      </c>
      <c r="K22" s="12">
        <f>-Premissas!$B$50</f>
        <v/>
      </c>
      <c r="L22" s="12">
        <f>-Premissas!$B$50</f>
        <v/>
      </c>
      <c r="M22" s="12">
        <f>-Premissas!$B$50</f>
        <v/>
      </c>
      <c r="N22" s="12">
        <f>-Premissas!$B$50</f>
        <v/>
      </c>
    </row>
    <row r="23">
      <c r="A23" s="2" t="inlineStr">
        <is>
          <t>RT + laboratório externo</t>
        </is>
      </c>
      <c r="B23" s="12" t="n">
        <v>0</v>
      </c>
      <c r="C23" s="12">
        <f>-(Premissas!$B$51+Premissas!$B$52)</f>
        <v/>
      </c>
      <c r="D23" s="12">
        <f>-(Premissas!$B$51+Premissas!$B$52)</f>
        <v/>
      </c>
      <c r="E23" s="12">
        <f>-(Premissas!$B$51+Premissas!$B$52)</f>
        <v/>
      </c>
      <c r="F23" s="12">
        <f>-(Premissas!$B$51+Premissas!$B$52)</f>
        <v/>
      </c>
      <c r="G23" s="12">
        <f>-(Premissas!$B$51+Premissas!$B$52)</f>
        <v/>
      </c>
      <c r="H23" s="12">
        <f>-(Premissas!$B$51+Premissas!$B$52)</f>
        <v/>
      </c>
      <c r="I23" s="12">
        <f>-(Premissas!$B$51+Premissas!$B$52)</f>
        <v/>
      </c>
      <c r="J23" s="12">
        <f>-(Premissas!$B$51+Premissas!$B$52)</f>
        <v/>
      </c>
      <c r="K23" s="12">
        <f>-(Premissas!$B$51+Premissas!$B$52)</f>
        <v/>
      </c>
      <c r="L23" s="12">
        <f>-(Premissas!$B$51+Premissas!$B$52)</f>
        <v/>
      </c>
      <c r="M23" s="12">
        <f>-(Premissas!$B$51+Premissas!$B$52)</f>
        <v/>
      </c>
      <c r="N23" s="12">
        <f>-(Premissas!$B$51+Premissas!$B$52)</f>
        <v/>
      </c>
    </row>
    <row r="24">
      <c r="A24" s="2" t="inlineStr">
        <is>
          <t>Administrativas + energia fixa</t>
        </is>
      </c>
      <c r="B24" s="12" t="n">
        <v>0</v>
      </c>
      <c r="C24" s="12">
        <f>-(Premissas!$B$53+Premissas!$B$54)</f>
        <v/>
      </c>
      <c r="D24" s="12">
        <f>-(Premissas!$B$53+Premissas!$B$54)</f>
        <v/>
      </c>
      <c r="E24" s="12">
        <f>-(Premissas!$B$53+Premissas!$B$54)</f>
        <v/>
      </c>
      <c r="F24" s="12">
        <f>-(Premissas!$B$53+Premissas!$B$54)</f>
        <v/>
      </c>
      <c r="G24" s="12">
        <f>-(Premissas!$B$53+Premissas!$B$54)</f>
        <v/>
      </c>
      <c r="H24" s="12">
        <f>-(Premissas!$B$53+Premissas!$B$54)</f>
        <v/>
      </c>
      <c r="I24" s="12">
        <f>-(Premissas!$B$53+Premissas!$B$54)</f>
        <v/>
      </c>
      <c r="J24" s="12">
        <f>-(Premissas!$B$53+Premissas!$B$54)</f>
        <v/>
      </c>
      <c r="K24" s="12">
        <f>-(Premissas!$B$53+Premissas!$B$54)</f>
        <v/>
      </c>
      <c r="L24" s="12">
        <f>-(Premissas!$B$53+Premissas!$B$54)</f>
        <v/>
      </c>
      <c r="M24" s="12">
        <f>-(Premissas!$B$53+Premissas!$B$54)</f>
        <v/>
      </c>
      <c r="N24" s="12">
        <f>-(Premissas!$B$53+Premissas!$B$54)</f>
        <v/>
      </c>
    </row>
    <row r="25">
      <c r="A25" s="2" t="inlineStr">
        <is>
          <t>Manutenção + seguros</t>
        </is>
      </c>
      <c r="B25" s="12" t="n">
        <v>0</v>
      </c>
      <c r="C25" s="12">
        <f>-(Premissas!$B$11*Premissas!$B$8*Premissas!$B$55+Premissas!$B$12*Premissas!$B$8*Premissas!$B$56+Premissas!$B$14*Premissas!$B$57)</f>
        <v/>
      </c>
      <c r="D25" s="12">
        <f>-(Premissas!$B$11*Premissas!$B$8*Premissas!$B$55+Premissas!$B$12*Premissas!$B$8*Premissas!$B$56+Premissas!$B$14*Premissas!$B$57)</f>
        <v/>
      </c>
      <c r="E25" s="12">
        <f>-(Premissas!$B$11*Premissas!$B$8*Premissas!$B$55+Premissas!$B$12*Premissas!$B$8*Premissas!$B$56+Premissas!$B$14*Premissas!$B$57)</f>
        <v/>
      </c>
      <c r="F25" s="12">
        <f>-(Premissas!$B$11*Premissas!$B$8*Premissas!$B$55+Premissas!$B$12*Premissas!$B$8*Premissas!$B$56+Premissas!$B$14*Premissas!$B$57)</f>
        <v/>
      </c>
      <c r="G25" s="12">
        <f>-(Premissas!$B$11*Premissas!$B$8*Premissas!$B$55+Premissas!$B$12*Premissas!$B$8*Premissas!$B$56+Premissas!$B$14*Premissas!$B$57)</f>
        <v/>
      </c>
      <c r="H25" s="12">
        <f>-(Premissas!$B$11*Premissas!$B$8*Premissas!$B$55+Premissas!$B$12*Premissas!$B$8*Premissas!$B$56+Premissas!$B$14*Premissas!$B$57)</f>
        <v/>
      </c>
      <c r="I25" s="12">
        <f>-(Premissas!$B$11*Premissas!$B$8*Premissas!$B$55+Premissas!$B$12*Premissas!$B$8*Premissas!$B$56+Premissas!$B$14*Premissas!$B$57)</f>
        <v/>
      </c>
      <c r="J25" s="12">
        <f>-(Premissas!$B$11*Premissas!$B$8*Premissas!$B$55+Premissas!$B$12*Premissas!$B$8*Premissas!$B$56+Premissas!$B$14*Premissas!$B$57)</f>
        <v/>
      </c>
      <c r="K25" s="12">
        <f>-(Premissas!$B$11*Premissas!$B$8*Premissas!$B$55+Premissas!$B$12*Premissas!$B$8*Premissas!$B$56+Premissas!$B$14*Premissas!$B$57)</f>
        <v/>
      </c>
      <c r="L25" s="12">
        <f>-(Premissas!$B$11*Premissas!$B$8*Premissas!$B$55+Premissas!$B$12*Premissas!$B$8*Premissas!$B$56+Premissas!$B$14*Premissas!$B$57)</f>
        <v/>
      </c>
      <c r="M25" s="12">
        <f>-(Premissas!$B$11*Premissas!$B$8*Premissas!$B$55+Premissas!$B$12*Premissas!$B$8*Premissas!$B$56+Premissas!$B$14*Premissas!$B$57)</f>
        <v/>
      </c>
      <c r="N25" s="12">
        <f>-(Premissas!$B$11*Premissas!$B$8*Premissas!$B$55+Premissas!$B$12*Premissas!$B$8*Premissas!$B$56+Premissas!$B$14*Premissas!$B$57)</f>
        <v/>
      </c>
    </row>
    <row r="26">
      <c r="A26" s="13" t="inlineStr">
        <is>
          <t>EBITDA</t>
        </is>
      </c>
      <c r="B26" s="14">
        <f>B20+SUM(B22:B25)</f>
        <v/>
      </c>
      <c r="C26" s="14">
        <f>C20+SUM(C22:C25)</f>
        <v/>
      </c>
      <c r="D26" s="14">
        <f>D20+SUM(D22:D25)</f>
        <v/>
      </c>
      <c r="E26" s="14">
        <f>E20+SUM(E22:E25)</f>
        <v/>
      </c>
      <c r="F26" s="14">
        <f>F20+SUM(F22:F25)</f>
        <v/>
      </c>
      <c r="G26" s="14">
        <f>G20+SUM(G22:G25)</f>
        <v/>
      </c>
      <c r="H26" s="14">
        <f>H20+SUM(H22:H25)</f>
        <v/>
      </c>
      <c r="I26" s="14">
        <f>I20+SUM(I22:I25)</f>
        <v/>
      </c>
      <c r="J26" s="14">
        <f>J20+SUM(J22:J25)</f>
        <v/>
      </c>
      <c r="K26" s="14">
        <f>K20+SUM(K22:K25)</f>
        <v/>
      </c>
      <c r="L26" s="14">
        <f>L20+SUM(L22:L25)</f>
        <v/>
      </c>
      <c r="M26" s="14">
        <f>M20+SUM(M22:M25)</f>
        <v/>
      </c>
      <c r="N26" s="14">
        <f>N20+SUM(N22:N25)</f>
        <v/>
      </c>
    </row>
    <row r="27">
      <c r="A27" s="2" t="inlineStr">
        <is>
          <t>Margem EBITDA</t>
        </is>
      </c>
      <c r="B27" s="17">
        <f>IF(B12=0,0,B26/B12)</f>
        <v/>
      </c>
      <c r="C27" s="17">
        <f>IF(C12=0,0,C26/C12)</f>
        <v/>
      </c>
      <c r="D27" s="17">
        <f>IF(D12=0,0,D26/D12)</f>
        <v/>
      </c>
      <c r="E27" s="17">
        <f>IF(E12=0,0,E26/E12)</f>
        <v/>
      </c>
      <c r="F27" s="17">
        <f>IF(F12=0,0,F26/F12)</f>
        <v/>
      </c>
      <c r="G27" s="17">
        <f>IF(G12=0,0,G26/G12)</f>
        <v/>
      </c>
      <c r="H27" s="17">
        <f>IF(H12=0,0,H26/H12)</f>
        <v/>
      </c>
      <c r="I27" s="17">
        <f>IF(I12=0,0,I26/I12)</f>
        <v/>
      </c>
      <c r="J27" s="17">
        <f>IF(J12=0,0,J26/J12)</f>
        <v/>
      </c>
      <c r="K27" s="17">
        <f>IF(K12=0,0,K26/K12)</f>
        <v/>
      </c>
      <c r="L27" s="17">
        <f>IF(L12=0,0,L26/L12)</f>
        <v/>
      </c>
      <c r="M27" s="17">
        <f>IF(M12=0,0,M26/M12)</f>
        <v/>
      </c>
      <c r="N27" s="17">
        <f>IF(N12=0,0,N26/N12)</f>
        <v/>
      </c>
    </row>
    <row r="28">
      <c r="A28" s="2" t="inlineStr">
        <is>
          <t>Depreciação</t>
        </is>
      </c>
      <c r="B28" s="12" t="n">
        <v>0</v>
      </c>
      <c r="C28" s="12">
        <f>-(Premissas!$B$11*Premissas!$B$8/Premissas!$B$61+(Premissas!$B$12+Premissas!$B$13)*Premissas!$B$8/Premissas!$B$62)</f>
        <v/>
      </c>
      <c r="D28" s="12">
        <f>-(Premissas!$B$11*Premissas!$B$8/Premissas!$B$61+(Premissas!$B$12+Premissas!$B$13)*Premissas!$B$8/Premissas!$B$62)</f>
        <v/>
      </c>
      <c r="E28" s="12">
        <f>-(Premissas!$B$11*Premissas!$B$8/Premissas!$B$61+(Premissas!$B$12+Premissas!$B$13)*Premissas!$B$8/Premissas!$B$62)</f>
        <v/>
      </c>
      <c r="F28" s="12">
        <f>-(Premissas!$B$11*Premissas!$B$8/Premissas!$B$61+(Premissas!$B$12+Premissas!$B$13)*Premissas!$B$8/Premissas!$B$62)</f>
        <v/>
      </c>
      <c r="G28" s="12">
        <f>-(Premissas!$B$11*Premissas!$B$8/Premissas!$B$61+(Premissas!$B$12+Premissas!$B$13)*Premissas!$B$8/Premissas!$B$62)</f>
        <v/>
      </c>
      <c r="H28" s="12">
        <f>-(Premissas!$B$11*Premissas!$B$8/Premissas!$B$61+(Premissas!$B$12+Premissas!$B$13)*Premissas!$B$8/Premissas!$B$62)</f>
        <v/>
      </c>
      <c r="I28" s="12">
        <f>-(Premissas!$B$11*Premissas!$B$8/Premissas!$B$61+(Premissas!$B$12+Premissas!$B$13)*Premissas!$B$8/Premissas!$B$62)</f>
        <v/>
      </c>
      <c r="J28" s="12">
        <f>-(Premissas!$B$11*Premissas!$B$8/Premissas!$B$61+(Premissas!$B$12+Premissas!$B$13)*Premissas!$B$8/Premissas!$B$62)</f>
        <v/>
      </c>
      <c r="K28" s="12">
        <f>-(Premissas!$B$11*Premissas!$B$8/Premissas!$B$61+(Premissas!$B$12+Premissas!$B$13)*Premissas!$B$8/Premissas!$B$62)</f>
        <v/>
      </c>
      <c r="L28" s="12">
        <f>-(Premissas!$B$11*Premissas!$B$8/Premissas!$B$61+(Premissas!$B$12+Premissas!$B$13)*Premissas!$B$8/Premissas!$B$62)</f>
        <v/>
      </c>
      <c r="M28" s="12">
        <f>-(Premissas!$B$11*Premissas!$B$8/Premissas!$B$61+(Premissas!$B$12+Premissas!$B$13)*Premissas!$B$8/Premissas!$B$62)</f>
        <v/>
      </c>
      <c r="N28" s="12">
        <f>-(Premissas!$B$11*Premissas!$B$8/Premissas!$B$61+(Premissas!$B$12+Premissas!$B$13)*Premissas!$B$8/Premissas!$B$62)</f>
        <v/>
      </c>
    </row>
    <row r="29"/>
    <row r="30">
      <c r="A30" s="2" t="inlineStr">
        <is>
          <t>Saldo FNE investimento (início)</t>
        </is>
      </c>
      <c r="B30" s="12">
        <f>Premissas!$B$15</f>
        <v/>
      </c>
      <c r="C30" s="12">
        <f>Premissas!$B$15</f>
        <v/>
      </c>
      <c r="D30" s="12">
        <f>C30+C32</f>
        <v/>
      </c>
      <c r="E30" s="12">
        <f>D30+D32</f>
        <v/>
      </c>
      <c r="F30" s="12">
        <f>E30+E32</f>
        <v/>
      </c>
      <c r="G30" s="12">
        <f>F30+F32</f>
        <v/>
      </c>
      <c r="H30" s="12">
        <f>G30+G32</f>
        <v/>
      </c>
      <c r="I30" s="12">
        <f>H30+H32</f>
        <v/>
      </c>
      <c r="J30" s="12">
        <f>I30+I32</f>
        <v/>
      </c>
      <c r="K30" s="12">
        <f>J30+J32</f>
        <v/>
      </c>
      <c r="L30" s="12">
        <f>K30+K32</f>
        <v/>
      </c>
      <c r="M30" s="12">
        <f>L30+L32</f>
        <v/>
      </c>
      <c r="N30" s="12">
        <f>M30+M32</f>
        <v/>
      </c>
    </row>
    <row r="31">
      <c r="A31" s="2" t="inlineStr">
        <is>
          <t>Juros FNE investimento</t>
        </is>
      </c>
      <c r="B31" s="12">
        <f>-Premissas!$B$15*Premissas!$B$16*Premissas!$B$19</f>
        <v/>
      </c>
      <c r="C31" s="12">
        <f>-C30*Premissas!$B$16</f>
        <v/>
      </c>
      <c r="D31" s="12">
        <f>-D30*Premissas!$B$16</f>
        <v/>
      </c>
      <c r="E31" s="12">
        <f>-E30*Premissas!$B$16</f>
        <v/>
      </c>
      <c r="F31" s="12">
        <f>-F30*Premissas!$B$16</f>
        <v/>
      </c>
      <c r="G31" s="12">
        <f>-G30*Premissas!$B$16</f>
        <v/>
      </c>
      <c r="H31" s="12">
        <f>-H30*Premissas!$B$16</f>
        <v/>
      </c>
      <c r="I31" s="12">
        <f>-I30*Premissas!$B$16</f>
        <v/>
      </c>
      <c r="J31" s="12">
        <f>-J30*Premissas!$B$16</f>
        <v/>
      </c>
      <c r="K31" s="12">
        <f>-K30*Premissas!$B$16</f>
        <v/>
      </c>
      <c r="L31" s="12">
        <f>-L30*Premissas!$B$16</f>
        <v/>
      </c>
      <c r="M31" s="12">
        <f>-M30*Premissas!$B$16</f>
        <v/>
      </c>
      <c r="N31" s="12">
        <f>-N30*Premissas!$B$16</f>
        <v/>
      </c>
    </row>
    <row r="32">
      <c r="A32" s="2" t="inlineStr">
        <is>
          <t>Amortização FNE investimento</t>
        </is>
      </c>
      <c r="B32" s="12" t="n">
        <v>0</v>
      </c>
      <c r="C32" s="12" t="n">
        <v>0</v>
      </c>
      <c r="D32" s="12" t="n">
        <v>0</v>
      </c>
      <c r="E32" s="12" t="n">
        <v>0</v>
      </c>
      <c r="F32" s="12" t="n">
        <v>0</v>
      </c>
      <c r="G32" s="12">
        <f>-Premissas!$B$15/(Premissas!$B$17-Premissas!$B$18)</f>
        <v/>
      </c>
      <c r="H32" s="12">
        <f>-Premissas!$B$15/(Premissas!$B$17-Premissas!$B$18)</f>
        <v/>
      </c>
      <c r="I32" s="12">
        <f>-Premissas!$B$15/(Premissas!$B$17-Premissas!$B$18)</f>
        <v/>
      </c>
      <c r="J32" s="12">
        <f>-Premissas!$B$15/(Premissas!$B$17-Premissas!$B$18)</f>
        <v/>
      </c>
      <c r="K32" s="12">
        <f>-Premissas!$B$15/(Premissas!$B$17-Premissas!$B$18)</f>
        <v/>
      </c>
      <c r="L32" s="12">
        <f>-Premissas!$B$15/(Premissas!$B$17-Premissas!$B$18)</f>
        <v/>
      </c>
      <c r="M32" s="12">
        <f>-Premissas!$B$15/(Premissas!$B$17-Premissas!$B$18)</f>
        <v/>
      </c>
      <c r="N32" s="12">
        <f>-Premissas!$B$15/(Premissas!$B$17-Premissas!$B$18)</f>
        <v/>
      </c>
    </row>
    <row r="33">
      <c r="A33" s="2" t="inlineStr">
        <is>
          <t>Juros FNE giro (renovável)</t>
        </is>
      </c>
      <c r="B33" s="12" t="n">
        <v>0</v>
      </c>
      <c r="C33" s="12">
        <f>-Premissas!$B$60*Premissas!$B$16</f>
        <v/>
      </c>
      <c r="D33" s="12">
        <f>-Premissas!$B$60*Premissas!$B$16</f>
        <v/>
      </c>
      <c r="E33" s="12">
        <f>-Premissas!$B$60*Premissas!$B$16</f>
        <v/>
      </c>
      <c r="F33" s="12">
        <f>-Premissas!$B$60*Premissas!$B$16</f>
        <v/>
      </c>
      <c r="G33" s="12">
        <f>-Premissas!$B$60*Premissas!$B$16</f>
        <v/>
      </c>
      <c r="H33" s="12">
        <f>-Premissas!$B$60*Premissas!$B$16</f>
        <v/>
      </c>
      <c r="I33" s="12">
        <f>-Premissas!$B$60*Premissas!$B$16</f>
        <v/>
      </c>
      <c r="J33" s="12">
        <f>-Premissas!$B$60*Premissas!$B$16</f>
        <v/>
      </c>
      <c r="K33" s="12">
        <f>-Premissas!$B$60*Premissas!$B$16</f>
        <v/>
      </c>
      <c r="L33" s="12">
        <f>-Premissas!$B$60*Premissas!$B$16</f>
        <v/>
      </c>
      <c r="M33" s="12">
        <f>-Premissas!$B$60*Premissas!$B$16</f>
        <v/>
      </c>
      <c r="N33" s="12">
        <f>-Premissas!$B$60*Premissas!$B$16</f>
        <v/>
      </c>
    </row>
    <row r="34">
      <c r="A34" s="13" t="inlineStr">
        <is>
          <t>SERVIÇO DA DÍVIDA (anos 1-12)</t>
        </is>
      </c>
      <c r="B34" s="14" t="n">
        <v>0</v>
      </c>
      <c r="C34" s="14">
        <f>-(C31+C32+C33)</f>
        <v/>
      </c>
      <c r="D34" s="14">
        <f>-(D31+D32+D33)</f>
        <v/>
      </c>
      <c r="E34" s="14">
        <f>-(E31+E32+E33)</f>
        <v/>
      </c>
      <c r="F34" s="14">
        <f>-(F31+F32+F33)</f>
        <v/>
      </c>
      <c r="G34" s="14">
        <f>-(G31+G32+G33)</f>
        <v/>
      </c>
      <c r="H34" s="14">
        <f>-(H31+H32+H33)</f>
        <v/>
      </c>
      <c r="I34" s="14">
        <f>-(I31+I32+I33)</f>
        <v/>
      </c>
      <c r="J34" s="14">
        <f>-(J31+J32+J33)</f>
        <v/>
      </c>
      <c r="K34" s="14">
        <f>-(K31+K32+K33)</f>
        <v/>
      </c>
      <c r="L34" s="14">
        <f>-(L31+L32+L33)</f>
        <v/>
      </c>
      <c r="M34" s="14">
        <f>-(M31+M32+M33)</f>
        <v/>
      </c>
      <c r="N34" s="14">
        <f>-(N31+N32+N33)</f>
        <v/>
      </c>
    </row>
    <row r="35">
      <c r="A35" s="2" t="inlineStr">
        <is>
          <t>Retenção de 5% (cota-parte, fica no caixa)</t>
        </is>
      </c>
      <c r="B35" s="12">
        <f>-B15*Premissas!$B$36</f>
        <v/>
      </c>
      <c r="C35" s="12">
        <f>-C15*Premissas!$B$36</f>
        <v/>
      </c>
      <c r="D35" s="12">
        <f>-D15*Premissas!$B$36</f>
        <v/>
      </c>
      <c r="E35" s="12">
        <f>-E15*Premissas!$B$36</f>
        <v/>
      </c>
      <c r="F35" s="12">
        <f>-F15*Premissas!$B$36</f>
        <v/>
      </c>
      <c r="G35" s="12">
        <f>-G15*Premissas!$B$36</f>
        <v/>
      </c>
      <c r="H35" s="12">
        <f>-H15*Premissas!$B$36</f>
        <v/>
      </c>
      <c r="I35" s="12">
        <f>-I15*Premissas!$B$36</f>
        <v/>
      </c>
      <c r="J35" s="12">
        <f>-J15*Premissas!$B$36</f>
        <v/>
      </c>
      <c r="K35" s="12">
        <f>-K15*Premissas!$B$36</f>
        <v/>
      </c>
      <c r="L35" s="12">
        <f>-L15*Premissas!$B$36</f>
        <v/>
      </c>
      <c r="M35" s="12">
        <f>-M15*Premissas!$B$36</f>
        <v/>
      </c>
      <c r="N35" s="12">
        <f>-N15*Premissas!$B$36</f>
        <v/>
      </c>
    </row>
    <row r="36">
      <c r="A36" s="13" t="inlineStr">
        <is>
          <t>CAIXA PARA A DÍVIDA (EBITDA + retenção)</t>
        </is>
      </c>
      <c r="B36" s="14">
        <f>B26+B35</f>
        <v/>
      </c>
      <c r="C36" s="14">
        <f>C26+C35</f>
        <v/>
      </c>
      <c r="D36" s="14">
        <f>D26+D35</f>
        <v/>
      </c>
      <c r="E36" s="14">
        <f>E26+E35</f>
        <v/>
      </c>
      <c r="F36" s="14">
        <f>F26+F35</f>
        <v/>
      </c>
      <c r="G36" s="14">
        <f>G26+G35</f>
        <v/>
      </c>
      <c r="H36" s="14">
        <f>H26+H35</f>
        <v/>
      </c>
      <c r="I36" s="14">
        <f>I26+I35</f>
        <v/>
      </c>
      <c r="J36" s="14">
        <f>J26+J35</f>
        <v/>
      </c>
      <c r="K36" s="14">
        <f>K26+K35</f>
        <v/>
      </c>
      <c r="L36" s="14">
        <f>L26+L35</f>
        <v/>
      </c>
      <c r="M36" s="14">
        <f>M26+M35</f>
        <v/>
      </c>
      <c r="N36" s="14">
        <f>N26+N35</f>
        <v/>
      </c>
    </row>
    <row r="37">
      <c r="A37" s="13" t="inlineStr">
        <is>
          <t>COBERTURA DA DÍVIDA (DSCR)</t>
        </is>
      </c>
      <c r="B37" s="18" t="inlineStr"/>
      <c r="C37" s="18">
        <f>C36/C34</f>
        <v/>
      </c>
      <c r="D37" s="18">
        <f>D36/D34</f>
        <v/>
      </c>
      <c r="E37" s="18">
        <f>E36/E34</f>
        <v/>
      </c>
      <c r="F37" s="18">
        <f>F36/F34</f>
        <v/>
      </c>
      <c r="G37" s="18">
        <f>G36/G34</f>
        <v/>
      </c>
      <c r="H37" s="18">
        <f>H36/H34</f>
        <v/>
      </c>
      <c r="I37" s="18">
        <f>I36/I34</f>
        <v/>
      </c>
      <c r="J37" s="18">
        <f>J36/J34</f>
        <v/>
      </c>
      <c r="K37" s="18">
        <f>K36/K34</f>
        <v/>
      </c>
      <c r="L37" s="18">
        <f>L36/L34</f>
        <v/>
      </c>
      <c r="M37" s="18">
        <f>M36/M34</f>
        <v/>
      </c>
      <c r="N37" s="18">
        <f>N36/N34</f>
        <v/>
      </c>
    </row>
    <row r="38">
      <c r="A38" s="2" t="inlineStr">
        <is>
          <t>Cobertura operacional SEM a retenção</t>
        </is>
      </c>
      <c r="B38" s="19" t="inlineStr"/>
      <c r="C38" s="19">
        <f>C26/C34</f>
        <v/>
      </c>
      <c r="D38" s="19">
        <f>D26/D34</f>
        <v/>
      </c>
      <c r="E38" s="19">
        <f>E26/E34</f>
        <v/>
      </c>
      <c r="F38" s="19">
        <f>F26/F34</f>
        <v/>
      </c>
      <c r="G38" s="19">
        <f>G26/G34</f>
        <v/>
      </c>
      <c r="H38" s="19">
        <f>H26/H34</f>
        <v/>
      </c>
      <c r="I38" s="19">
        <f>I26/I34</f>
        <v/>
      </c>
      <c r="J38" s="19">
        <f>J26/J34</f>
        <v/>
      </c>
      <c r="K38" s="19">
        <f>K26/K34</f>
        <v/>
      </c>
      <c r="L38" s="19">
        <f>L26/L34</f>
        <v/>
      </c>
      <c r="M38" s="19">
        <f>M26/M34</f>
        <v/>
      </c>
      <c r="N38" s="19">
        <f>N26/N34</f>
        <v/>
      </c>
    </row>
    <row r="39"/>
    <row r="40">
      <c r="A40" s="2" t="inlineStr">
        <is>
          <t>Sobras do exercício (após juros e depreciação)</t>
        </is>
      </c>
      <c r="B40" s="12">
        <f>B26+B28+B31+B33</f>
        <v/>
      </c>
      <c r="C40" s="12">
        <f>C26+C28+C31+C33</f>
        <v/>
      </c>
      <c r="D40" s="12">
        <f>D26+D28+D31+D33</f>
        <v/>
      </c>
      <c r="E40" s="12">
        <f>E26+E28+E31+E33</f>
        <v/>
      </c>
      <c r="F40" s="12">
        <f>F26+F28+F31+F33</f>
        <v/>
      </c>
      <c r="G40" s="12">
        <f>G26+G28+G31+G33</f>
        <v/>
      </c>
      <c r="H40" s="12">
        <f>H26+H28+H31+H33</f>
        <v/>
      </c>
      <c r="I40" s="12">
        <f>I26+I28+I31+I33</f>
        <v/>
      </c>
      <c r="J40" s="12">
        <f>J26+J28+J31+J33</f>
        <v/>
      </c>
      <c r="K40" s="12">
        <f>K26+K28+K31+K33</f>
        <v/>
      </c>
      <c r="L40" s="12">
        <f>L26+L28+L31+L33</f>
        <v/>
      </c>
      <c r="M40" s="12">
        <f>M26+M28+M31+M33</f>
        <v/>
      </c>
      <c r="N40" s="12">
        <f>N26+N28+N31+N33</f>
        <v/>
      </c>
    </row>
    <row r="41">
      <c r="A41" s="2" t="inlineStr">
        <is>
          <t>Fluxo do projeto (desalavancado)</t>
        </is>
      </c>
      <c r="B41" s="12">
        <f>-Premissas!$B$14</f>
        <v/>
      </c>
      <c r="C41" s="12">
        <f>C26</f>
        <v/>
      </c>
      <c r="D41" s="12">
        <f>D26</f>
        <v/>
      </c>
      <c r="E41" s="12">
        <f>E26</f>
        <v/>
      </c>
      <c r="F41" s="12">
        <f>F26</f>
        <v/>
      </c>
      <c r="G41" s="12">
        <f>G26</f>
        <v/>
      </c>
      <c r="H41" s="12">
        <f>H26</f>
        <v/>
      </c>
      <c r="I41" s="12">
        <f>I26</f>
        <v/>
      </c>
      <c r="J41" s="12">
        <f>J26</f>
        <v/>
      </c>
      <c r="K41" s="12">
        <f>K26</f>
        <v/>
      </c>
      <c r="L41" s="12">
        <f>L26</f>
        <v/>
      </c>
      <c r="M41" s="12">
        <f>M26</f>
        <v/>
      </c>
      <c r="N41" s="12">
        <f>N26</f>
        <v/>
      </c>
    </row>
    <row r="42">
      <c r="A42" s="2" t="inlineStr">
        <is>
          <t>Fluxo dos cooperados (contrapartida, dívida, retenção)</t>
        </is>
      </c>
      <c r="B42" s="12">
        <f>-(Premissas!$B$14-Premissas!$B$15)+B31</f>
        <v/>
      </c>
      <c r="C42" s="12">
        <f>C26+C31+C32+C33</f>
        <v/>
      </c>
      <c r="D42" s="12">
        <f>D26+D31+D32+D33</f>
        <v/>
      </c>
      <c r="E42" s="12">
        <f>E26+E31+E32+E33</f>
        <v/>
      </c>
      <c r="F42" s="12">
        <f>F26+F31+F32+F33</f>
        <v/>
      </c>
      <c r="G42" s="12">
        <f>G26+G31+G32+G33</f>
        <v/>
      </c>
      <c r="H42" s="12">
        <f>H26+H31+H32+H33</f>
        <v/>
      </c>
      <c r="I42" s="12">
        <f>I26+I31+I32+I33</f>
        <v/>
      </c>
      <c r="J42" s="12">
        <f>J26+J31+J32+J33</f>
        <v/>
      </c>
      <c r="K42" s="12">
        <f>K26+K31+K32+K33</f>
        <v/>
      </c>
      <c r="L42" s="12">
        <f>L26+L31+L32+L33</f>
        <v/>
      </c>
      <c r="M42" s="12">
        <f>M26+M31+M32+M33</f>
        <v/>
      </c>
      <c r="N42" s="12">
        <f>N26+N31+N32+N33</f>
        <v/>
      </c>
    </row>
    <row r="43">
      <c r="A43" s="2" t="inlineStr">
        <is>
          <t>Ganho dos apicultores sobre o atravessador</t>
        </is>
      </c>
      <c r="B43" s="12">
        <f>B4*1000*(Premissas!$B$33-Premissas!$B$37)</f>
        <v/>
      </c>
      <c r="C43" s="12">
        <f>C4*1000*(Premissas!$B$33-Premissas!$B$37)</f>
        <v/>
      </c>
      <c r="D43" s="12">
        <f>D4*1000*(Premissas!$B$33-Premissas!$B$37)</f>
        <v/>
      </c>
      <c r="E43" s="12">
        <f>E4*1000*(Premissas!$B$33-Premissas!$B$37)</f>
        <v/>
      </c>
      <c r="F43" s="12">
        <f>F4*1000*(Premissas!$B$33-Premissas!$B$37)</f>
        <v/>
      </c>
      <c r="G43" s="12">
        <f>G4*1000*(Premissas!$B$33-Premissas!$B$37)</f>
        <v/>
      </c>
      <c r="H43" s="12">
        <f>H4*1000*(Premissas!$B$33-Premissas!$B$37)</f>
        <v/>
      </c>
      <c r="I43" s="12">
        <f>I4*1000*(Premissas!$B$33-Premissas!$B$37)</f>
        <v/>
      </c>
      <c r="J43" s="12">
        <f>J4*1000*(Premissas!$B$33-Premissas!$B$37)</f>
        <v/>
      </c>
      <c r="K43" s="12">
        <f>K4*1000*(Premissas!$B$33-Premissas!$B$37)</f>
        <v/>
      </c>
      <c r="L43" s="12">
        <f>L4*1000*(Premissas!$B$33-Premissas!$B$37)</f>
        <v/>
      </c>
      <c r="M43" s="12">
        <f>M4*1000*(Premissas!$B$33-Premissas!$B$37)</f>
        <v/>
      </c>
      <c r="N43" s="12">
        <f>N4*1000*(Premissas!$B$33-Premissas!$B$37)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1" t="inlineStr">
        <is>
          <t>RESUMO · Entreposto Regional (fonte única de números da suíte MHBV 1.0)</t>
        </is>
      </c>
    </row>
    <row r="2"/>
    <row r="3">
      <c r="A3" s="3" t="inlineStr">
        <is>
          <t>Indicador</t>
        </is>
      </c>
      <c r="B3" s="3" t="inlineStr">
        <is>
          <t>Valor</t>
        </is>
      </c>
    </row>
    <row r="4">
      <c r="A4" s="2" t="inlineStr">
        <is>
          <t>Investimento total</t>
        </is>
      </c>
      <c r="B4" s="14">
        <f>Premissas!$B$14</f>
        <v/>
      </c>
    </row>
    <row r="5">
      <c r="A5" s="2" t="inlineStr">
        <is>
          <t>FNE investimento</t>
        </is>
      </c>
      <c r="B5" s="14">
        <f>Premissas!$B$15</f>
        <v/>
      </c>
    </row>
    <row r="6">
      <c r="A6" s="2" t="inlineStr">
        <is>
          <t>Capital próprio (contrapartida)</t>
        </is>
      </c>
      <c r="B6" s="14">
        <f>Premissas!$B$14-Premissas!$B$15</f>
        <v/>
      </c>
    </row>
    <row r="7">
      <c r="A7" s="2" t="inlineStr">
        <is>
          <t>FNE giro (renovável)</t>
        </is>
      </c>
      <c r="B7" s="14">
        <f>Premissas!$B$60</f>
        <v/>
      </c>
    </row>
    <row r="8">
      <c r="A8" s="2" t="inlineStr">
        <is>
          <t>Total financiado FNE</t>
        </is>
      </c>
      <c r="B8" s="14">
        <f>Premissas!$B$15+Premissas!$B$60</f>
        <v/>
      </c>
    </row>
    <row r="9">
      <c r="A9" s="2" t="inlineStr">
        <is>
          <t>Taxa FNE no modelo</t>
        </is>
      </c>
      <c r="B9" s="20">
        <f>Premissas!$B$16</f>
        <v/>
      </c>
    </row>
    <row r="10">
      <c r="A10" s="2" t="inlineStr">
        <is>
          <t>Volume no regime (ano 2 em diante)</t>
        </is>
      </c>
      <c r="B10" s="21">
        <f>Fluxo!E4</f>
        <v/>
      </c>
    </row>
    <row r="11">
      <c r="A11" s="2" t="inlineStr">
        <is>
          <t>Receita bruta no regime (250 t)</t>
        </is>
      </c>
      <c r="B11" s="14">
        <f>Fluxo!E12</f>
        <v/>
      </c>
    </row>
    <row r="12">
      <c r="A12" s="2" t="inlineStr">
        <is>
          <t>EBITDA no regime (250 t)</t>
        </is>
      </c>
      <c r="B12" s="14">
        <f>Fluxo!E26</f>
        <v/>
      </c>
    </row>
    <row r="13">
      <c r="A13" s="2" t="inlineStr">
        <is>
          <t>Margem EBITDA no regime</t>
        </is>
      </c>
      <c r="B13" s="22">
        <f>Fluxo!E27</f>
        <v/>
      </c>
    </row>
    <row r="14">
      <c r="A14" s="2" t="inlineStr">
        <is>
          <t>Preço ao cooperado (R$/kg)</t>
        </is>
      </c>
      <c r="B14" s="23">
        <f>Premissas!$B$33</f>
        <v/>
      </c>
    </row>
    <row r="15">
      <c r="A15" s="2" t="inlineStr">
        <is>
          <t>Compra anual de mel no regime</t>
        </is>
      </c>
      <c r="B15" s="14">
        <f>-Fluxo!E15</f>
        <v/>
      </c>
    </row>
    <row r="16">
      <c r="A16" s="2" t="inlineStr">
        <is>
          <t>Retenção de 5% no regime (R$/ano)</t>
        </is>
      </c>
      <c r="B16" s="14">
        <f>Fluxo!E35</f>
        <v/>
      </c>
    </row>
    <row r="17">
      <c r="A17" s="2" t="inlineStr">
        <is>
          <t>COBERTURA MÍNIMA DA DÍVIDA – anos 1 a 12</t>
        </is>
      </c>
      <c r="B17" s="18">
        <f>MIN(Fluxo!C37:N37)</f>
        <v/>
      </c>
    </row>
    <row r="18">
      <c r="A18" s="2" t="inlineStr">
        <is>
          <t>Ano da cobertura mínima</t>
        </is>
      </c>
      <c r="B18" s="24">
        <f>MATCH(MIN(Fluxo!C37:N37),Fluxo!C37:N37,0)</f>
        <v/>
      </c>
    </row>
    <row r="19">
      <c r="A19" s="2" t="inlineStr">
        <is>
          <t>Cobertura média – anos 5 a 12 (amortização)</t>
        </is>
      </c>
      <c r="B19" s="18">
        <f>AVERAGE(Fluxo!G37:N37)</f>
        <v/>
      </c>
    </row>
    <row r="20">
      <c r="A20" s="2" t="inlineStr">
        <is>
          <t>Cobertura operacional mínima SEM retenção</t>
        </is>
      </c>
      <c r="B20" s="18">
        <f>MIN(Fluxo!C38:N38)</f>
        <v/>
      </c>
    </row>
    <row r="21">
      <c r="A21" s="2" t="inlineStr">
        <is>
          <t>TIR do projeto (12 anos, sem valor residual)</t>
        </is>
      </c>
      <c r="B21" s="22">
        <f>IRR(Fluxo!B41:N41)</f>
        <v/>
      </c>
    </row>
    <row r="22">
      <c r="A22" s="2" t="inlineStr">
        <is>
          <t>VPL do projeto</t>
        </is>
      </c>
      <c r="B22" s="14">
        <f>NPV(Premissas!$B$64,Fluxo!C41:N41)+Fluxo!B41</f>
        <v/>
      </c>
    </row>
    <row r="23">
      <c r="A23" s="2" t="inlineStr">
        <is>
          <t>TIR dos cooperados</t>
        </is>
      </c>
      <c r="B23" s="22">
        <f>IFERROR(IRR(Fluxo!B42:N42),"negativa")</f>
        <v/>
      </c>
    </row>
    <row r="24">
      <c r="A24" s="2" t="inlineStr">
        <is>
          <t>Ganho dos apicultores sobre o atravessador (12 anos)</t>
        </is>
      </c>
      <c r="B24" s="14">
        <f>SUM(Fluxo!C43:N43)</f>
        <v/>
      </c>
    </row>
    <row r="25">
      <c r="A25" s="2" t="inlineStr">
        <is>
          <t>Quadro fixo (pessoas)</t>
        </is>
      </c>
      <c r="B25" s="24">
        <f>Pessoal!C14</f>
        <v/>
      </c>
    </row>
    <row r="26">
      <c r="A26" s="2" t="inlineStr">
        <is>
          <t>Sobra distribuível por kg no ano 6 (após Reserva 10% + FATES 5%)</t>
        </is>
      </c>
      <c r="B26" s="23">
        <f>Fluxo!H40*0.85/(Fluxo!H4*1000)</f>
        <v/>
      </c>
    </row>
    <row r="27">
      <c r="A27" s="2" t="inlineStr">
        <is>
          <t>Preço efetivo ao cooperado no ano 6 (adiantamento + sobra, R$/kg)</t>
        </is>
      </c>
      <c r="B27" s="23">
        <f>Premissas!$B$33+B26</f>
        <v/>
      </c>
    </row>
    <row r="28">
      <c r="A28" s="2" t="inlineStr">
        <is>
          <t>Piso BNB usado no projeto: cobertura ≥ 1,5x com mel −20% (ver Cenarios_BNB). Todos os custos marcados como ESTIMATIVA/PREMISSA devem ser trocados por cotação real.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50" customWidth="1" min="3" max="3"/>
  </cols>
  <sheetData>
    <row r="1">
      <c r="A1" s="1" t="inlineStr">
        <is>
          <t>PLANO DE GIRO · ano de regime (250 t)</t>
        </is>
      </c>
    </row>
    <row r="2"/>
    <row r="3">
      <c r="A3" s="3" t="inlineStr">
        <is>
          <t>Item</t>
        </is>
      </c>
      <c r="B3" s="3" t="inlineStr">
        <is>
          <t>Valor (R$)</t>
        </is>
      </c>
      <c r="C3" s="3" t="inlineStr">
        <is>
          <t>Observação</t>
        </is>
      </c>
    </row>
    <row r="4">
      <c r="A4" t="inlineStr">
        <is>
          <t>Compra anual de mel</t>
        </is>
      </c>
      <c r="B4" s="12">
        <f>-Fluxo!E15</f>
        <v/>
      </c>
      <c r="C4" t="inlineStr">
        <is>
          <t>Volume × preço ao cooperado.</t>
        </is>
      </c>
    </row>
    <row r="5">
      <c r="A5" t="inlineStr">
        <is>
          <t>Necessidade bruta (estoque de safra ≈ 49% da compra)</t>
        </is>
      </c>
      <c r="B5" s="12">
        <f>B4*0.4929</f>
        <v/>
      </c>
      <c r="C5" t="inlineStr">
        <is>
          <t>Método do plano de 29/09 (49% da compra anual).</t>
        </is>
      </c>
    </row>
    <row r="6">
      <c r="A6" t="inlineStr">
        <is>
          <t>− granel vendido logo (40%)</t>
        </is>
      </c>
      <c r="B6" s="12">
        <f>-B5*(1-Premissas!$B$27)</f>
        <v/>
      </c>
      <c r="C6" t="inlineStr">
        <is>
          <t>Só o estoque de sachê fica parado.</t>
        </is>
      </c>
    </row>
    <row r="7">
      <c r="A7" t="inlineStr">
        <is>
          <t>Estoque parado de sachê</t>
        </is>
      </c>
      <c r="B7" s="12">
        <f>B5+B6</f>
        <v/>
      </c>
    </row>
    <row r="8">
      <c r="A8" t="inlineStr">
        <is>
          <t>− pagamento escalonado (30% só no fim do exercício)</t>
        </is>
      </c>
      <c r="B8" s="12">
        <f>-B7*0.28</f>
        <v/>
      </c>
      <c r="C8" t="inlineStr">
        <is>
          <t>50% na entrega + 20% em 90 dias.</t>
        </is>
      </c>
    </row>
    <row r="9">
      <c r="A9" t="inlineStr">
        <is>
          <t>Necessidade líquida a financiar</t>
        </is>
      </c>
      <c r="B9" s="12">
        <f>B7+B8</f>
        <v/>
      </c>
      <c r="C9" t="inlineStr">
        <is>
          <t>Coberta pelo FNE giro + retenção.</t>
        </is>
      </c>
    </row>
    <row r="10">
      <c r="A10" t="inlineStr">
        <is>
          <t>Coberta por: FNE giro renovável</t>
        </is>
      </c>
      <c r="B10" s="12">
        <f>Premissas!$B$60</f>
        <v/>
      </c>
      <c r="C10" t="inlineStr">
        <is>
          <t>Garantia: penhor do estoque de sachê.</t>
        </is>
      </c>
    </row>
    <row r="11">
      <c r="A11" t="inlineStr">
        <is>
          <t>Coberta por: retenção de 5% (1º ano de regime)</t>
        </is>
      </c>
      <c r="B11" s="12">
        <f>B9-B10</f>
        <v/>
      </c>
      <c r="C11" t="inlineStr">
        <is>
          <t>Retenção anual no regime em Resumo.</t>
        </is>
      </c>
    </row>
    <row r="12">
      <c r="A12" t="inlineStr">
        <is>
          <t>Juros anuais do giro (entram na dívida)</t>
        </is>
      </c>
      <c r="B12" s="12">
        <f>Premissas!$B$60*Premissas!$B$16</f>
        <v/>
      </c>
      <c r="C12" t="inlineStr">
        <is>
          <t>O principal volta com a venda do estoque.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6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>
      <c r="A1" s="1" t="inlineStr">
        <is>
          <t>CENÁRIOS BNB · valores gravados pelo recálculo do próprio modelo (LibreOffice) em 30/09/2026</t>
        </is>
      </c>
    </row>
    <row r="2"/>
    <row r="3">
      <c r="A3" s="3" t="inlineStr">
        <is>
          <t>Cenário</t>
        </is>
      </c>
      <c r="B3" s="3" t="inlineStr">
        <is>
          <t>Cobertura mín.</t>
        </is>
      </c>
      <c r="C3" s="3" t="inlineStr">
        <is>
          <t>Ano</t>
        </is>
      </c>
      <c r="D3" s="3" t="inlineStr">
        <is>
          <t>Sem retenção</t>
        </is>
      </c>
      <c r="E3" s="3" t="inlineStr">
        <is>
          <t>TIR projeto</t>
        </is>
      </c>
      <c r="F3" s="3" t="inlineStr">
        <is>
          <t>TIR cooperados</t>
        </is>
      </c>
      <c r="G3" s="3" t="inlineStr">
        <is>
          <t>EBITDA regime</t>
        </is>
      </c>
    </row>
    <row r="4">
      <c r="A4" s="2" t="inlineStr">
        <is>
          <t>BASE (250 t · sachê R$ 30 · granel R$ 18,55 · juros 10%)</t>
        </is>
      </c>
      <c r="B4" s="25" t="n">
        <v>2.51075910588235</v>
      </c>
      <c r="C4" s="2" t="n">
        <v>5</v>
      </c>
      <c r="D4" s="25" t="n">
        <v>2.21523214509804</v>
      </c>
      <c r="E4" s="26" t="n">
        <v>0.300579552955003</v>
      </c>
      <c r="F4" s="26" t="n">
        <v>0.496469415736593</v>
      </c>
      <c r="G4" s="8" t="n">
        <v>1129768.394</v>
      </c>
    </row>
    <row r="5">
      <c r="A5" s="13" t="inlineStr">
        <is>
          <t>Mel −20% (venda e cooperado)  ← PISO BNB ≥ 1,50x</t>
        </is>
      </c>
      <c r="B5" s="18" t="n">
        <v>1.52464479215686</v>
      </c>
      <c r="C5" s="13" t="n">
        <v>5</v>
      </c>
      <c r="D5" s="18" t="n">
        <v>1.28822322352941</v>
      </c>
      <c r="E5" s="22" t="n">
        <v>0.150335641023334</v>
      </c>
      <c r="F5" s="22" t="n">
        <v>0.155457228698281</v>
      </c>
      <c r="G5" s="14" t="n">
        <v>656993.844</v>
      </c>
    </row>
    <row r="6">
      <c r="A6" s="2" t="inlineStr">
        <is>
          <t>Volume −20% (200 t)</t>
        </is>
      </c>
      <c r="B6" s="25" t="n">
        <v>1.66578204705882</v>
      </c>
      <c r="C6" s="2" t="n">
        <v>5</v>
      </c>
      <c r="D6" s="25" t="n">
        <v>1.42936047843137</v>
      </c>
      <c r="E6" s="26" t="n">
        <v>0.175086205619928</v>
      </c>
      <c r="F6" s="26" t="n">
        <v>0.21528085127723</v>
      </c>
      <c r="G6" s="8" t="n">
        <v>728973.844</v>
      </c>
    </row>
    <row r="7">
      <c r="A7" s="2" t="inlineStr">
        <is>
          <t>Preço −10% e volume −10%</t>
        </is>
      </c>
      <c r="B7" s="25" t="n">
        <v>1.64451913529412</v>
      </c>
      <c r="C7" s="2" t="n">
        <v>5</v>
      </c>
      <c r="D7" s="25" t="n">
        <v>1.40514229705882</v>
      </c>
      <c r="E7" s="26" t="n">
        <v>0.170906455888359</v>
      </c>
      <c r="F7" s="26" t="n">
        <v>0.205388475733715</v>
      </c>
      <c r="G7" s="8" t="n">
        <v>716622.5715</v>
      </c>
    </row>
    <row r="8">
      <c r="A8" s="2" t="inlineStr">
        <is>
          <t>Juros FNE 12,45% a.a.</t>
        </is>
      </c>
      <c r="B8" s="25" t="n">
        <v>2.23198037998954</v>
      </c>
      <c r="C8" s="2" t="n">
        <v>5</v>
      </c>
      <c r="D8" s="25" t="n">
        <v>1.96926685375632</v>
      </c>
      <c r="E8" s="26" t="n">
        <v>0.300579552955003</v>
      </c>
      <c r="F8" s="26" t="n">
        <v>0.445924781789583</v>
      </c>
      <c r="G8" s="8" t="n">
        <v>1129768.394</v>
      </c>
    </row>
    <row r="9">
      <c r="A9" s="2" t="inlineStr">
        <is>
          <t>Juros FNE 7,65% a.a.</t>
        </is>
      </c>
      <c r="B9" s="25" t="n">
        <v>2.85249976386723</v>
      </c>
      <c r="C9" s="2" t="n">
        <v>5</v>
      </c>
      <c r="D9" s="25" t="n">
        <v>2.51674848295834</v>
      </c>
      <c r="E9" s="26" t="n">
        <v>0.300579552955003</v>
      </c>
      <c r="F9" s="26" t="n">
        <v>0.54665125315324</v>
      </c>
      <c r="G9" s="8" t="n">
        <v>1129768.394</v>
      </c>
    </row>
    <row r="10">
      <c r="A10" s="2" t="inlineStr">
        <is>
          <t>Sachê a R$ 25/kg (sem mexer no granel)</t>
        </is>
      </c>
      <c r="B10" s="25" t="n">
        <v>1.30847969411765</v>
      </c>
      <c r="C10" s="2" t="n">
        <v>5</v>
      </c>
      <c r="D10" s="25" t="n">
        <v>0.917091707692307</v>
      </c>
      <c r="E10" s="26" t="n">
        <v>0.098662057031869</v>
      </c>
      <c r="F10" s="26" t="n">
        <v>0.0120784264348577</v>
      </c>
      <c r="G10" s="8" t="n">
        <v>516605.894</v>
      </c>
    </row>
    <row r="11">
      <c r="A11" s="2" t="inlineStr">
        <is>
          <t>Investimento +20%</t>
        </is>
      </c>
      <c r="B11" s="25" t="n">
        <v>2.48393165490196</v>
      </c>
      <c r="C11" s="2" t="n">
        <v>5</v>
      </c>
      <c r="D11" s="25" t="n">
        <v>2.18840469411765</v>
      </c>
      <c r="E11" s="26" t="n">
        <v>0.241922821327292</v>
      </c>
      <c r="F11" s="26" t="n">
        <v>0.32807952430143</v>
      </c>
      <c r="G11" s="8" t="n">
        <v>1116086.394</v>
      </c>
    </row>
    <row r="12"/>
    <row r="13">
      <c r="A13" s="2" t="inlineStr">
        <is>
          <t>Leitura: a cobertura mínima ocorre no ano 5 (1ª amortização do FNE investimento). Piso adotado: ≥ 1,50x com mel −20%. Ponto fraco: preço do sachê (R$ 25/kg → 1,31x) — exige cartas de intenção de compra antes do protocolo.</t>
        </is>
      </c>
    </row>
    <row r="14">
      <c r="A14" s="2" t="inlineStr">
        <is>
          <t>Decisão 30/09/2026: FNE investimento R$ 2,0 mi + capital próprio R$ 1,29 mi; cooperado 65% do granel PAA/Conab-CE.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2026-09-30T04:12:08Z</dcterms:created>
  <dcterms:modified xmlns:dcterms="http://purl.org/dc/terms/" xmlns:xsi="http://www.w3.org/2001/XMLSchema-instance" xsi:type="dcterms:W3CDTF">2026-10-01T15:47:46Z</dcterms:modified>
</cp:coreProperties>
</file>